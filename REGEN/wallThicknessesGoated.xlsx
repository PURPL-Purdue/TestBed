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<sst xmlns="http://schemas.openxmlformats.org/spreadsheetml/2006/main" count="52" uniqueCount="36">
  <si>
    <t>T_Target = 500K</t>
  </si>
  <si>
    <t>Possible Heights: 0.03:0.125"</t>
  </si>
  <si>
    <t>HeightStepNumber</t>
  </si>
  <si>
    <t>AxialPosition (m)</t>
  </si>
  <si>
    <t>Chamber Diameter</t>
  </si>
  <si>
    <t>Wall Thickness</t>
  </si>
  <si>
    <t>Height Array</t>
  </si>
  <si>
    <t>Adapted Heights</t>
  </si>
  <si>
    <t>Width</t>
  </si>
  <si>
    <t>Flow Temperature</t>
  </si>
  <si>
    <t>Flow Pressure</t>
  </si>
  <si>
    <t>Flow Velocity</t>
  </si>
  <si>
    <t>Qdot (500 Ttarget)</t>
  </si>
  <si>
    <t>Qdot (590 Ttarget)</t>
  </si>
  <si>
    <t>T_lreq</t>
  </si>
  <si>
    <t>h_l</t>
  </si>
  <si>
    <t>h_g</t>
  </si>
  <si>
    <t>xx = h_lMatrix(1,1,:)</t>
  </si>
  <si>
    <t>h_lMatrix outputs</t>
  </si>
  <si>
    <t>h_g outputs</t>
  </si>
  <si>
    <t>xxx =</t>
  </si>
  <si>
    <t>1.0e+04 *</t>
  </si>
  <si>
    <t>Chamber Radii</t>
  </si>
  <si>
    <t>height</t>
  </si>
  <si>
    <t>wall thickness</t>
  </si>
  <si>
    <t>newFluidProperties</t>
  </si>
  <si>
    <t>Axial Height</t>
  </si>
  <si>
    <t>Area Ratio</t>
  </si>
  <si>
    <t>Prandtl</t>
  </si>
  <si>
    <t>Mach</t>
  </si>
  <si>
    <t>Gamma</t>
  </si>
  <si>
    <t>Exhaust Temp</t>
  </si>
  <si>
    <t>Viscosity</t>
  </si>
  <si>
    <t>Specific Heat</t>
  </si>
  <si>
    <t>Pressure</t>
  </si>
  <si>
    <t>Cstar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</si>
</sst>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11" xfId="0" applyAlignment="1" applyFont="1" applyNumberFormat="1">
      <alignment readingOrder="0"/>
    </xf>
    <xf borderId="0" fillId="0" fontId="1" numFmtId="11" xfId="0" applyAlignment="1" applyFont="1" applyNumberFormat="1">
      <alignment horizontal="center" readingOrder="0"/>
    </xf>
    <xf borderId="0" fillId="0" fontId="2" numFmtId="11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3" numFmtId="11" xfId="0" applyAlignment="1" applyFont="1" applyNumberFormat="1">
      <alignment horizontal="right" vertical="bottom"/>
    </xf>
    <xf borderId="1" fillId="0" fontId="2" numFmtId="11" xfId="0" applyAlignment="1" applyBorder="1" applyFont="1" applyNumberFormat="1">
      <alignment readingOrder="0"/>
    </xf>
    <xf borderId="2" fillId="0" fontId="1" numFmtId="11" xfId="0" applyAlignment="1" applyBorder="1" applyFont="1" applyNumberFormat="1">
      <alignment readingOrder="0"/>
    </xf>
    <xf borderId="3" fillId="0" fontId="2" numFmtId="11" xfId="0" applyAlignment="1" applyBorder="1" applyFont="1" applyNumberFormat="1">
      <alignment readingOrder="0"/>
    </xf>
    <xf borderId="3" fillId="0" fontId="2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2" fillId="0" fontId="1" numFmtId="11" xfId="0" applyBorder="1" applyFont="1" applyNumberFormat="1"/>
    <xf borderId="4" fillId="0" fontId="2" numFmtId="0" xfId="0" applyAlignment="1" applyBorder="1" applyFont="1">
      <alignment readingOrder="0"/>
    </xf>
    <xf borderId="2" fillId="0" fontId="1" numFmtId="0" xfId="0" applyBorder="1" applyFont="1"/>
    <xf borderId="0" fillId="0" fontId="1" numFmtId="0" xfId="0" applyAlignment="1" applyFont="1">
      <alignment readingOrder="0"/>
    </xf>
    <xf borderId="0" fillId="0" fontId="1" numFmtId="0" xfId="0" applyFont="1"/>
    <xf borderId="0" fillId="0" fontId="3" numFmtId="0" xfId="0" applyAlignment="1" applyFont="1">
      <alignment vertical="bottom"/>
    </xf>
    <xf borderId="0" fillId="0" fontId="1" numFmtId="11" xfId="0" applyFont="1" applyNumberFormat="1"/>
    <xf borderId="0" fillId="0" fontId="4" numFmtId="0" xfId="0" applyAlignment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AxialPosition (m) and Chamber Radii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Sheet2!$B$3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Sheet2!$C$2:$AT$2</c:f>
            </c:strRef>
          </c:cat>
          <c:val>
            <c:numRef>
              <c:f>Sheet2!$C$3:$AT$3</c:f>
              <c:numCache/>
            </c:numRef>
          </c:val>
          <c:smooth val="0"/>
        </c:ser>
        <c:ser>
          <c:idx val="1"/>
          <c:order val="1"/>
          <c:tx>
            <c:strRef>
              <c:f>Sheet2!$B$6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Sheet2!$C$2:$AT$2</c:f>
            </c:strRef>
          </c:cat>
          <c:val>
            <c:numRef>
              <c:f>Sheet2!$C$6:$AT$6</c:f>
              <c:numCache/>
            </c:numRef>
          </c:val>
          <c:smooth val="0"/>
        </c:ser>
        <c:ser>
          <c:idx val="2"/>
          <c:order val="2"/>
          <c:tx>
            <c:strRef>
              <c:f>Sheet2!$B$17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Sheet2!$C$2:$AT$2</c:f>
            </c:strRef>
          </c:cat>
          <c:val>
            <c:numRef>
              <c:f>Sheet2!$C$17:$AT$17</c:f>
              <c:numCache/>
            </c:numRef>
          </c:val>
          <c:smooth val="0"/>
        </c:ser>
        <c:ser>
          <c:idx val="3"/>
          <c:order val="3"/>
          <c:tx>
            <c:strRef>
              <c:f>Sheet2!$B$18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Sheet2!$C$2:$AT$2</c:f>
            </c:strRef>
          </c:cat>
          <c:val>
            <c:numRef>
              <c:f>Sheet2!$C$18:$AT$18</c:f>
              <c:numCache/>
            </c:numRef>
          </c:val>
          <c:smooth val="0"/>
        </c:ser>
        <c:axId val="540207291"/>
        <c:axId val="210619029"/>
      </c:lineChart>
      <c:catAx>
        <c:axId val="5402072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Axial Distance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619029"/>
      </c:catAx>
      <c:valAx>
        <c:axId val="2106190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Radial Position (m)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02072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h_g,h_l, Temperature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Sheet2!$B$27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Sheet2!$C$2:$AT$2</c:f>
            </c:strRef>
          </c:cat>
          <c:val>
            <c:numRef>
              <c:f>Sheet2!$C$27:$AT$27</c:f>
              <c:numCache/>
            </c:numRef>
          </c:val>
          <c:smooth val="0"/>
        </c:ser>
        <c:axId val="1953508920"/>
        <c:axId val="1934559585"/>
      </c:lineChart>
      <c:catAx>
        <c:axId val="1953508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Axial Dih stance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4559585"/>
      </c:catAx>
      <c:valAx>
        <c:axId val="19345595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Temperature (K)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3508920"/>
      </c:valAx>
      <c:lineChart>
        <c:ser>
          <c:idx val="1"/>
          <c:order val="1"/>
          <c:tx>
            <c:strRef>
              <c:f>Sheet2!$B$14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Sheet2!$C$2:$AT$2</c:f>
            </c:strRef>
          </c:cat>
          <c:val>
            <c:numRef>
              <c:f>Sheet2!$C$14:$AT$14</c:f>
              <c:numCache/>
            </c:numRef>
          </c:val>
          <c:smooth val="0"/>
        </c:ser>
        <c:ser>
          <c:idx val="2"/>
          <c:order val="2"/>
          <c:tx>
            <c:strRef>
              <c:f>Sheet2!$B$15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Sheet2!$C$2:$AT$2</c:f>
            </c:strRef>
          </c:cat>
          <c:val>
            <c:numRef>
              <c:f>Sheet2!$C$15:$AT$15</c:f>
              <c:numCache/>
            </c:numRef>
          </c:val>
          <c:smooth val="0"/>
        </c:ser>
        <c:axId val="183549073"/>
        <c:axId val="1951962241"/>
      </c:lineChart>
      <c:catAx>
        <c:axId val="18354907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1962241"/>
      </c:catAx>
      <c:valAx>
        <c:axId val="1951962241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54907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Flow Temp v Required Flow Temp</a:t>
            </a:r>
          </a:p>
        </c:rich>
      </c:tx>
      <c:overlay val="0"/>
    </c:title>
    <c:plotArea>
      <c:layout/>
      <c:lineChart>
        <c:ser>
          <c:idx val="0"/>
          <c:order val="0"/>
          <c:tx>
            <c:v>Required Flow Temp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Pt>
            <c:idx val="27"/>
            <c:marker>
              <c:symbol val="none"/>
            </c:marker>
          </c:dPt>
          <c:cat>
            <c:strRef>
              <c:f>Sheet2!$C$2:$AT$2</c:f>
            </c:strRef>
          </c:cat>
          <c:val>
            <c:numRef>
              <c:f>Sheet2!$C$13:$AT$13</c:f>
              <c:numCache/>
            </c:numRef>
          </c:val>
          <c:smooth val="0"/>
        </c:ser>
        <c:ser>
          <c:idx val="1"/>
          <c:order val="1"/>
          <c:tx>
            <c:v>Flow Temperature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Sheet2!$C$2:$AT$2</c:f>
            </c:strRef>
          </c:cat>
          <c:val>
            <c:numRef>
              <c:f>Sheet2!$C$8:$AT$8</c:f>
              <c:numCache/>
            </c:numRef>
          </c:val>
          <c:smooth val="0"/>
        </c:ser>
        <c:axId val="2096450177"/>
        <c:axId val="1604376311"/>
      </c:lineChart>
      <c:catAx>
        <c:axId val="20964501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4376311"/>
      </c:catAx>
      <c:valAx>
        <c:axId val="16043763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 (K)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64501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Flow Temperature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Flow Pressure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Sheet2!$C$2:$AT$2</c:f>
            </c:strRef>
          </c:cat>
          <c:val>
            <c:numRef>
              <c:f>Sheet2!$C$9:$AT$9</c:f>
              <c:numCache/>
            </c:numRef>
          </c:val>
          <c:smooth val="0"/>
        </c:ser>
        <c:axId val="778718039"/>
        <c:axId val="1306945992"/>
      </c:lineChart>
      <c:catAx>
        <c:axId val="7787180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6945992"/>
      </c:catAx>
      <c:valAx>
        <c:axId val="13069459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Pressire (Pa)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8718039"/>
      </c:valAx>
      <c:lineChart>
        <c:varyColors val="0"/>
        <c:ser>
          <c:idx val="1"/>
          <c:order val="1"/>
          <c:tx>
            <c:v>Flow Velocity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Sheet2!$C$2:$AT$2</c:f>
            </c:strRef>
          </c:cat>
          <c:val>
            <c:numRef>
              <c:f>Sheet2!$C$10:$AT$10</c:f>
              <c:numCache/>
            </c:numRef>
          </c:val>
          <c:smooth val="0"/>
        </c:ser>
        <c:axId val="1253159507"/>
        <c:axId val="520011456"/>
      </c:lineChart>
      <c:catAx>
        <c:axId val="125315950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0011456"/>
      </c:catAx>
      <c:valAx>
        <c:axId val="520011456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315950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914400</xdr:colOff>
      <xdr:row>32</xdr:row>
      <xdr:rowOff>19050</xdr:rowOff>
    </xdr:from>
    <xdr:ext cx="3667125" cy="22860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19050</xdr:colOff>
      <xdr:row>30</xdr:row>
      <xdr:rowOff>200025</xdr:rowOff>
    </xdr:from>
    <xdr:ext cx="4200525" cy="26003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171450</xdr:colOff>
      <xdr:row>32</xdr:row>
      <xdr:rowOff>200025</xdr:rowOff>
    </xdr:from>
    <xdr:ext cx="3267075" cy="20193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914400</xdr:colOff>
      <xdr:row>44</xdr:row>
      <xdr:rowOff>76200</xdr:rowOff>
    </xdr:from>
    <xdr:ext cx="3914775" cy="24384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</cols>
  <sheetData>
    <row r="1">
      <c r="A1" s="1"/>
      <c r="B1" s="2" t="s">
        <v>0</v>
      </c>
      <c r="D1" s="2" t="s">
        <v>1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>
      <c r="A2" s="3" t="s">
        <v>2</v>
      </c>
      <c r="B2" s="4">
        <v>1.0</v>
      </c>
      <c r="C2" s="4">
        <v>2.0</v>
      </c>
      <c r="D2" s="4">
        <v>3.0</v>
      </c>
      <c r="E2" s="4">
        <v>4.0</v>
      </c>
      <c r="F2" s="4">
        <v>5.0</v>
      </c>
      <c r="G2" s="4">
        <v>6.0</v>
      </c>
      <c r="H2" s="4">
        <v>7.0</v>
      </c>
      <c r="I2" s="4">
        <v>8.0</v>
      </c>
      <c r="J2" s="4">
        <v>9.0</v>
      </c>
      <c r="K2" s="4">
        <v>10.0</v>
      </c>
      <c r="L2" s="4">
        <v>11.0</v>
      </c>
      <c r="M2" s="4">
        <v>12.0</v>
      </c>
      <c r="N2" s="4">
        <v>13.0</v>
      </c>
      <c r="O2" s="4">
        <v>14.0</v>
      </c>
      <c r="P2" s="4">
        <v>15.0</v>
      </c>
      <c r="Q2" s="4">
        <v>16.0</v>
      </c>
      <c r="R2" s="4">
        <v>17.0</v>
      </c>
      <c r="S2" s="4">
        <v>18.0</v>
      </c>
      <c r="T2" s="4">
        <v>19.0</v>
      </c>
      <c r="U2" s="4">
        <v>20.0</v>
      </c>
      <c r="V2" s="4">
        <v>21.0</v>
      </c>
      <c r="W2" s="4">
        <v>22.0</v>
      </c>
      <c r="X2" s="4">
        <v>23.0</v>
      </c>
      <c r="Y2" s="4">
        <v>24.0</v>
      </c>
      <c r="Z2" s="4">
        <v>25.0</v>
      </c>
      <c r="AA2" s="4">
        <v>26.0</v>
      </c>
      <c r="AB2" s="4">
        <v>27.0</v>
      </c>
      <c r="AC2" s="4">
        <v>28.0</v>
      </c>
      <c r="AD2" s="4">
        <v>29.0</v>
      </c>
      <c r="AE2" s="4">
        <v>30.0</v>
      </c>
      <c r="AF2" s="4">
        <v>31.0</v>
      </c>
      <c r="AG2" s="4">
        <v>32.0</v>
      </c>
      <c r="AH2" s="4">
        <v>33.0</v>
      </c>
      <c r="AI2" s="4">
        <v>34.0</v>
      </c>
      <c r="AJ2" s="4">
        <v>35.0</v>
      </c>
      <c r="AK2" s="4">
        <v>36.0</v>
      </c>
      <c r="AL2" s="4">
        <v>37.0</v>
      </c>
      <c r="AM2" s="4">
        <v>38.0</v>
      </c>
      <c r="AN2" s="4">
        <v>39.0</v>
      </c>
      <c r="AO2" s="4">
        <v>40.0</v>
      </c>
      <c r="AP2" s="4">
        <v>41.0</v>
      </c>
      <c r="AQ2" s="4">
        <v>42.0</v>
      </c>
      <c r="AR2" s="4">
        <v>43.0</v>
      </c>
      <c r="AS2" s="4">
        <v>44.0</v>
      </c>
      <c r="AT2" s="4">
        <v>45.0</v>
      </c>
    </row>
    <row r="3">
      <c r="A3" s="3" t="s">
        <v>3</v>
      </c>
      <c r="B3" s="5">
        <v>0.179578359156718</v>
      </c>
      <c r="C3" s="5">
        <v>0.175497032812247</v>
      </c>
      <c r="D3" s="5">
        <v>0.171415706467777</v>
      </c>
      <c r="E3" s="5">
        <v>0.167334380123306</v>
      </c>
      <c r="F3" s="5">
        <v>0.163253053778835</v>
      </c>
      <c r="G3" s="5">
        <v>0.159171727434364</v>
      </c>
      <c r="H3" s="5">
        <v>0.155090401089893</v>
      </c>
      <c r="I3" s="5">
        <v>0.151009074745422</v>
      </c>
      <c r="J3" s="5">
        <v>0.146927748400951</v>
      </c>
      <c r="K3" s="5">
        <v>0.14284642205648</v>
      </c>
      <c r="L3" s="5">
        <v>0.13876509571201</v>
      </c>
      <c r="M3" s="5">
        <v>0.134683769367539</v>
      </c>
      <c r="N3" s="5">
        <v>0.130602443023068</v>
      </c>
      <c r="O3" s="5">
        <v>0.126521116678597</v>
      </c>
      <c r="P3" s="5">
        <v>0.122439790334126</v>
      </c>
      <c r="Q3" s="5">
        <v>0.118358463989655</v>
      </c>
      <c r="R3" s="5">
        <v>0.114277137645184</v>
      </c>
      <c r="S3" s="5">
        <v>0.110195811300714</v>
      </c>
      <c r="T3" s="5">
        <v>0.106114484956243</v>
      </c>
      <c r="U3" s="5">
        <v>0.102033158611772</v>
      </c>
      <c r="V3" s="5">
        <v>0.097951832267301</v>
      </c>
      <c r="W3" s="5">
        <v>0.09387050592283</v>
      </c>
      <c r="X3" s="5">
        <v>0.089789179578359</v>
      </c>
      <c r="Y3" s="5">
        <v>0.085707853233888</v>
      </c>
      <c r="Z3" s="5">
        <v>0.081626526889417</v>
      </c>
      <c r="AA3" s="5">
        <v>0.077545200544947</v>
      </c>
      <c r="AB3" s="5">
        <v>0.073463874200476</v>
      </c>
      <c r="AC3" s="5">
        <v>0.069382547856005</v>
      </c>
      <c r="AD3" s="5">
        <v>0.065301221511534</v>
      </c>
      <c r="AE3" s="5">
        <v>0.061219895167063</v>
      </c>
      <c r="AF3" s="5">
        <v>0.057138568822592</v>
      </c>
      <c r="AG3" s="5">
        <v>0.053057242478121</v>
      </c>
      <c r="AH3" s="5">
        <v>0.04897591613365</v>
      </c>
      <c r="AI3" s="5">
        <v>0.04489458978918</v>
      </c>
      <c r="AJ3" s="5">
        <v>0.040813263444709</v>
      </c>
      <c r="AK3" s="5">
        <v>0.036731937100238</v>
      </c>
      <c r="AL3" s="5">
        <v>0.032650610755767</v>
      </c>
      <c r="AM3" s="5">
        <v>0.028569284411296</v>
      </c>
      <c r="AN3" s="5">
        <v>0.024487958066825</v>
      </c>
      <c r="AO3" s="5">
        <v>0.020406631722354</v>
      </c>
      <c r="AP3" s="5">
        <v>0.016325305377883</v>
      </c>
      <c r="AQ3" s="5">
        <v>0.012243979033413</v>
      </c>
      <c r="AR3" s="5">
        <v>0.008162652688942</v>
      </c>
      <c r="AS3" s="5">
        <v>0.004081326344471</v>
      </c>
      <c r="AT3" s="5">
        <v>0.0</v>
      </c>
    </row>
    <row r="4">
      <c r="A4" s="6" t="s">
        <v>4</v>
      </c>
      <c r="B4" s="7">
        <f t="array" ref="B4:AT4">TRANSPOSE(L21:L65)</f>
        <v>0.02508329623</v>
      </c>
      <c r="C4" s="7">
        <v>0.024003751869565</v>
      </c>
      <c r="D4" s="7">
        <v>0.0229242075</v>
      </c>
      <c r="E4" s="7">
        <v>0.0218315775</v>
      </c>
      <c r="F4" s="7">
        <v>0.020743214695652</v>
      </c>
      <c r="G4" s="7">
        <v>0.0196594033636365</v>
      </c>
      <c r="H4" s="7">
        <v>0.0186060295</v>
      </c>
      <c r="I4" s="7">
        <v>0.0174889357391305</v>
      </c>
      <c r="J4" s="7">
        <v>0.016401141909091</v>
      </c>
      <c r="K4" s="7">
        <v>0.0153412255</v>
      </c>
      <c r="L4" s="7">
        <v>0.0142659479565215</v>
      </c>
      <c r="M4" s="7">
        <v>0.0131428804545455</v>
      </c>
      <c r="N4" s="7">
        <v>0.012095239318182</v>
      </c>
      <c r="O4" s="7">
        <v>0.011963988818182</v>
      </c>
      <c r="P4" s="7">
        <v>0.0130637390434785</v>
      </c>
      <c r="Q4" s="7">
        <v>0.0154060835454545</v>
      </c>
      <c r="R4" s="7">
        <v>0.019083662409091</v>
      </c>
      <c r="S4" s="7">
        <v>0.023218467304348</v>
      </c>
      <c r="T4" s="7">
        <v>0.0273063732272725</v>
      </c>
      <c r="U4" s="7">
        <v>0.031338154</v>
      </c>
      <c r="V4" s="7">
        <v>0.0354546046086955</v>
      </c>
      <c r="W4" s="7">
        <v>0.0379225463636365</v>
      </c>
      <c r="X4" s="7">
        <v>0.0381</v>
      </c>
      <c r="Y4" s="7">
        <v>0.0381</v>
      </c>
      <c r="Z4" s="7">
        <v>0.0381</v>
      </c>
      <c r="AA4" s="7">
        <v>0.0381</v>
      </c>
      <c r="AB4" s="7">
        <v>0.0381</v>
      </c>
      <c r="AC4" s="7">
        <v>0.0381</v>
      </c>
      <c r="AD4" s="7">
        <v>0.0381</v>
      </c>
      <c r="AE4" s="7">
        <v>0.0381</v>
      </c>
      <c r="AF4" s="7">
        <v>0.0381</v>
      </c>
      <c r="AG4" s="7">
        <v>0.0381</v>
      </c>
      <c r="AH4" s="7">
        <v>0.0381</v>
      </c>
      <c r="AI4" s="7">
        <v>0.0381</v>
      </c>
      <c r="AJ4" s="7">
        <v>0.0381</v>
      </c>
      <c r="AK4" s="7">
        <v>0.0381</v>
      </c>
      <c r="AL4" s="7">
        <v>0.0381</v>
      </c>
      <c r="AM4" s="7">
        <v>0.0381</v>
      </c>
      <c r="AN4" s="7">
        <v>0.0381</v>
      </c>
      <c r="AO4" s="7">
        <v>0.0381</v>
      </c>
      <c r="AP4" s="7">
        <v>0.0381</v>
      </c>
      <c r="AQ4" s="7">
        <v>0.0381</v>
      </c>
      <c r="AR4" s="7">
        <v>0.0381</v>
      </c>
      <c r="AS4" s="7">
        <v>0.0381</v>
      </c>
      <c r="AT4" s="7">
        <v>0.0381</v>
      </c>
    </row>
    <row r="5">
      <c r="A5" s="8" t="s">
        <v>5</v>
      </c>
      <c r="B5" s="7">
        <v>7.62E-4</v>
      </c>
      <c r="C5" s="7">
        <v>7.62E-4</v>
      </c>
      <c r="D5" s="7">
        <v>7.62E-4</v>
      </c>
      <c r="E5" s="7">
        <v>7.62E-4</v>
      </c>
      <c r="F5" s="7">
        <v>7.62E-4</v>
      </c>
      <c r="G5" s="7">
        <v>7.62E-4</v>
      </c>
      <c r="H5" s="7">
        <v>7.62E-4</v>
      </c>
      <c r="I5" s="7">
        <v>7.62E-4</v>
      </c>
      <c r="J5" s="7">
        <v>7.62E-4</v>
      </c>
      <c r="K5" s="7">
        <v>7.62E-4</v>
      </c>
      <c r="L5" s="7">
        <v>7.62E-4</v>
      </c>
      <c r="M5" s="7">
        <v>7.62E-4</v>
      </c>
      <c r="N5" s="7">
        <v>7.62E-4</v>
      </c>
      <c r="O5" s="7">
        <v>7.62E-4</v>
      </c>
      <c r="P5" s="7">
        <v>7.62E-4</v>
      </c>
      <c r="Q5" s="7">
        <v>7.62E-4</v>
      </c>
      <c r="R5" s="7">
        <v>7.62E-4</v>
      </c>
      <c r="S5" s="7">
        <v>7.62E-4</v>
      </c>
      <c r="T5" s="7">
        <v>7.62E-4</v>
      </c>
      <c r="U5" s="7">
        <v>7.62E-4</v>
      </c>
      <c r="V5" s="7">
        <v>7.62E-4</v>
      </c>
      <c r="W5" s="7">
        <v>7.62E-4</v>
      </c>
      <c r="X5" s="7">
        <v>7.62E-4</v>
      </c>
      <c r="Y5" s="7">
        <v>7.62E-4</v>
      </c>
      <c r="Z5" s="7">
        <v>7.62E-4</v>
      </c>
      <c r="AA5" s="7">
        <v>7.62E-4</v>
      </c>
      <c r="AB5" s="7">
        <v>7.62E-4</v>
      </c>
      <c r="AC5" s="7">
        <v>7.62E-4</v>
      </c>
      <c r="AD5" s="7">
        <v>7.62E-4</v>
      </c>
      <c r="AE5" s="7">
        <v>7.62E-4</v>
      </c>
      <c r="AF5" s="7">
        <v>7.62E-4</v>
      </c>
      <c r="AG5" s="7">
        <v>7.62E-4</v>
      </c>
      <c r="AH5" s="7">
        <v>7.62E-4</v>
      </c>
      <c r="AI5" s="7">
        <v>7.62E-4</v>
      </c>
      <c r="AJ5" s="7">
        <v>7.62E-4</v>
      </c>
      <c r="AK5" s="7">
        <v>7.62E-4</v>
      </c>
      <c r="AL5" s="7">
        <v>7.62E-4</v>
      </c>
      <c r="AM5" s="7">
        <v>7.62E-4</v>
      </c>
      <c r="AN5" s="7">
        <v>7.62E-4</v>
      </c>
      <c r="AO5" s="7">
        <v>7.62E-4</v>
      </c>
      <c r="AP5" s="7">
        <v>7.62E-4</v>
      </c>
      <c r="AQ5" s="7">
        <v>7.62E-4</v>
      </c>
      <c r="AR5" s="7">
        <v>7.62E-4</v>
      </c>
      <c r="AS5" s="7">
        <v>7.62E-4</v>
      </c>
      <c r="AT5" s="7">
        <v>7.62E-4</v>
      </c>
    </row>
    <row r="6">
      <c r="A6" s="9" t="s">
        <v>6</v>
      </c>
      <c r="B6" s="10" t="s">
        <v>7</v>
      </c>
      <c r="C6" s="10">
        <v>0.0031750063500127</v>
      </c>
      <c r="D6" s="10">
        <v>0.0031750063500127</v>
      </c>
      <c r="E6" s="10">
        <v>0.0031750063500127</v>
      </c>
      <c r="F6" s="10">
        <v>0.0031750063500127</v>
      </c>
      <c r="G6" s="10">
        <v>0.0031750063500127</v>
      </c>
      <c r="H6" s="10">
        <v>0.0031750063500127</v>
      </c>
      <c r="I6" s="10">
        <v>0.0031750063500127</v>
      </c>
      <c r="J6" s="10">
        <v>0.0031750063500127</v>
      </c>
      <c r="K6" s="10">
        <v>0.0031750063500127</v>
      </c>
      <c r="L6" s="10">
        <v>0.0031750063500127</v>
      </c>
      <c r="M6" s="10">
        <v>0.0031750063500127</v>
      </c>
      <c r="N6" s="10">
        <v>0.0031750063500127</v>
      </c>
      <c r="O6" s="10">
        <v>0.00156599635</v>
      </c>
      <c r="P6" s="10">
        <v>0.00154935419162</v>
      </c>
      <c r="Q6" s="10">
        <v>0.0031750063500127</v>
      </c>
      <c r="R6" s="10">
        <v>0.0031750063500127</v>
      </c>
      <c r="S6" s="10">
        <v>0.0031750063500127</v>
      </c>
      <c r="T6" s="10">
        <v>0.0031750063500127</v>
      </c>
      <c r="U6" s="10">
        <v>0.0031750063500127</v>
      </c>
      <c r="V6" s="10">
        <v>0.0031750063500127</v>
      </c>
      <c r="W6" s="10">
        <v>0.0031750063500127</v>
      </c>
      <c r="X6" s="10">
        <v>0.0031750063500127</v>
      </c>
      <c r="Y6" s="10">
        <v>0.0031750063500127</v>
      </c>
      <c r="Z6" s="10">
        <v>0.0031750063500127</v>
      </c>
      <c r="AA6" s="10">
        <v>0.0031750063500127</v>
      </c>
      <c r="AB6" s="10">
        <v>0.0031750063500127</v>
      </c>
      <c r="AC6" s="10">
        <v>0.0031750063500127</v>
      </c>
      <c r="AD6" s="10">
        <v>0.0031750063500127</v>
      </c>
      <c r="AE6" s="10">
        <v>0.0031750063500127</v>
      </c>
      <c r="AF6" s="10">
        <v>0.0031750063500127</v>
      </c>
      <c r="AG6" s="10">
        <v>0.0031750063500127</v>
      </c>
      <c r="AH6" s="10">
        <v>0.0031750063500127</v>
      </c>
      <c r="AI6" s="10">
        <v>0.0031750063500127</v>
      </c>
      <c r="AJ6" s="10">
        <v>0.0031750063500127</v>
      </c>
      <c r="AK6" s="10">
        <v>0.0031750063500127</v>
      </c>
      <c r="AL6" s="10">
        <v>0.0031750063500127</v>
      </c>
      <c r="AM6" s="10">
        <v>0.0031750063500127</v>
      </c>
      <c r="AN6" s="10">
        <v>0.0031750063500127</v>
      </c>
      <c r="AO6" s="10">
        <v>0.0031750063500127</v>
      </c>
      <c r="AP6" s="10">
        <v>0.0031750063500127</v>
      </c>
      <c r="AQ6" s="10">
        <v>0.0031750063500127</v>
      </c>
      <c r="AR6" s="10">
        <v>0.0031750063500127</v>
      </c>
      <c r="AS6" s="10">
        <v>0.0031750063500127</v>
      </c>
      <c r="AT6" s="10">
        <v>0.0031750063500127</v>
      </c>
    </row>
    <row r="7">
      <c r="A7" s="9" t="s">
        <v>7</v>
      </c>
      <c r="B7" s="10">
        <f t="array" ref="B7:O7">TRANSPOSE(G20:G33)</f>
        <v>0.00317500635</v>
      </c>
      <c r="C7" s="10">
        <v>0.003051236350011723</v>
      </c>
      <c r="D7" s="10">
        <v>0.002927466350010746</v>
      </c>
      <c r="E7" s="10">
        <v>0.002803696350009769</v>
      </c>
      <c r="F7" s="10">
        <v>0.0026799263500087924</v>
      </c>
      <c r="G7" s="10">
        <v>0.0025561563500078152</v>
      </c>
      <c r="H7" s="10">
        <v>0.0024323863500068385</v>
      </c>
      <c r="I7" s="10">
        <v>0.0023086163500058614</v>
      </c>
      <c r="J7" s="10">
        <v>0.0021848463500048843</v>
      </c>
      <c r="K7" s="10">
        <v>0.0020610763500039076</v>
      </c>
      <c r="L7" s="10">
        <v>0.0019373063500029307</v>
      </c>
      <c r="M7" s="10">
        <v>0.0018135363500019538</v>
      </c>
      <c r="N7" s="10">
        <v>0.0016897663500009766</v>
      </c>
      <c r="O7" s="10">
        <v>0.0015659963499999997</v>
      </c>
      <c r="P7" s="10">
        <f t="array" ref="P7:X7">TRANSPOSE(H20:H28)</f>
        <v>0.001549354192</v>
      </c>
      <c r="Q7" s="10">
        <v>0.0017525607114190875</v>
      </c>
      <c r="R7" s="10">
        <v>0.001955767231218175</v>
      </c>
      <c r="S7" s="10">
        <v>0.0021589737510172625</v>
      </c>
      <c r="T7" s="10">
        <v>0.00236218027081635</v>
      </c>
      <c r="U7" s="10">
        <v>0.0025653867906154375</v>
      </c>
      <c r="V7" s="10">
        <v>0.002768593310414525</v>
      </c>
      <c r="W7" s="10">
        <v>0.0029717998302136125</v>
      </c>
      <c r="X7" s="10">
        <v>0.0031750063500127</v>
      </c>
      <c r="Y7" s="10">
        <v>0.0031750063500127</v>
      </c>
      <c r="Z7" s="10">
        <v>0.0031750063500127</v>
      </c>
      <c r="AA7" s="10">
        <v>0.0031750063500127</v>
      </c>
      <c r="AB7" s="10">
        <v>0.0031750063500127</v>
      </c>
      <c r="AC7" s="10">
        <v>0.0031750063500127</v>
      </c>
      <c r="AD7" s="10">
        <v>0.0031750063500127</v>
      </c>
      <c r="AE7" s="10">
        <v>0.0031750063500127</v>
      </c>
      <c r="AF7" s="10">
        <v>0.0031750063500127</v>
      </c>
      <c r="AG7" s="10">
        <v>0.0031750063500127</v>
      </c>
      <c r="AH7" s="10">
        <v>0.0031750063500127</v>
      </c>
      <c r="AI7" s="10">
        <v>0.0031750063500127</v>
      </c>
      <c r="AJ7" s="10">
        <v>0.0031750063500127</v>
      </c>
      <c r="AK7" s="10">
        <v>0.0031750063500127</v>
      </c>
      <c r="AL7" s="10">
        <v>0.0031750063500127</v>
      </c>
      <c r="AM7" s="10">
        <v>0.0031750063500127</v>
      </c>
      <c r="AN7" s="10">
        <v>0.0031750063500127</v>
      </c>
      <c r="AO7" s="10">
        <v>0.0031750063500127</v>
      </c>
      <c r="AP7" s="10">
        <v>0.0031750063500127</v>
      </c>
      <c r="AQ7" s="10">
        <v>0.0031750063500127</v>
      </c>
      <c r="AR7" s="10">
        <v>0.0031750063500127</v>
      </c>
      <c r="AS7" s="10">
        <v>0.0031750063500127</v>
      </c>
      <c r="AT7" s="10">
        <v>0.0031750063500127</v>
      </c>
    </row>
    <row r="8">
      <c r="A8" s="9" t="s">
        <v>8</v>
      </c>
      <c r="B8" s="10">
        <f t="shared" ref="B8:AT8" si="1">0.00101600203200406/2</f>
        <v>0.000508001016</v>
      </c>
      <c r="C8" s="10">
        <f t="shared" si="1"/>
        <v>0.000508001016</v>
      </c>
      <c r="D8" s="10">
        <f t="shared" si="1"/>
        <v>0.000508001016</v>
      </c>
      <c r="E8" s="10">
        <f t="shared" si="1"/>
        <v>0.000508001016</v>
      </c>
      <c r="F8" s="10">
        <f t="shared" si="1"/>
        <v>0.000508001016</v>
      </c>
      <c r="G8" s="10">
        <f t="shared" si="1"/>
        <v>0.000508001016</v>
      </c>
      <c r="H8" s="10">
        <f t="shared" si="1"/>
        <v>0.000508001016</v>
      </c>
      <c r="I8" s="10">
        <f t="shared" si="1"/>
        <v>0.000508001016</v>
      </c>
      <c r="J8" s="10">
        <f t="shared" si="1"/>
        <v>0.000508001016</v>
      </c>
      <c r="K8" s="10">
        <f t="shared" si="1"/>
        <v>0.000508001016</v>
      </c>
      <c r="L8" s="10">
        <f t="shared" si="1"/>
        <v>0.000508001016</v>
      </c>
      <c r="M8" s="10">
        <f t="shared" si="1"/>
        <v>0.000508001016</v>
      </c>
      <c r="N8" s="10">
        <f t="shared" si="1"/>
        <v>0.000508001016</v>
      </c>
      <c r="O8" s="10">
        <f t="shared" si="1"/>
        <v>0.000508001016</v>
      </c>
      <c r="P8" s="10">
        <f t="shared" si="1"/>
        <v>0.000508001016</v>
      </c>
      <c r="Q8" s="10">
        <f t="shared" si="1"/>
        <v>0.000508001016</v>
      </c>
      <c r="R8" s="10">
        <f t="shared" si="1"/>
        <v>0.000508001016</v>
      </c>
      <c r="S8" s="10">
        <f t="shared" si="1"/>
        <v>0.000508001016</v>
      </c>
      <c r="T8" s="10">
        <f t="shared" si="1"/>
        <v>0.000508001016</v>
      </c>
      <c r="U8" s="10">
        <f t="shared" si="1"/>
        <v>0.000508001016</v>
      </c>
      <c r="V8" s="10">
        <f t="shared" si="1"/>
        <v>0.000508001016</v>
      </c>
      <c r="W8" s="10">
        <f t="shared" si="1"/>
        <v>0.000508001016</v>
      </c>
      <c r="X8" s="10">
        <f t="shared" si="1"/>
        <v>0.000508001016</v>
      </c>
      <c r="Y8" s="10">
        <f t="shared" si="1"/>
        <v>0.000508001016</v>
      </c>
      <c r="Z8" s="10">
        <f t="shared" si="1"/>
        <v>0.000508001016</v>
      </c>
      <c r="AA8" s="10">
        <f t="shared" si="1"/>
        <v>0.000508001016</v>
      </c>
      <c r="AB8" s="10">
        <f t="shared" si="1"/>
        <v>0.000508001016</v>
      </c>
      <c r="AC8" s="10">
        <f t="shared" si="1"/>
        <v>0.000508001016</v>
      </c>
      <c r="AD8" s="10">
        <f t="shared" si="1"/>
        <v>0.000508001016</v>
      </c>
      <c r="AE8" s="10">
        <f t="shared" si="1"/>
        <v>0.000508001016</v>
      </c>
      <c r="AF8" s="10">
        <f t="shared" si="1"/>
        <v>0.000508001016</v>
      </c>
      <c r="AG8" s="10">
        <f t="shared" si="1"/>
        <v>0.000508001016</v>
      </c>
      <c r="AH8" s="10">
        <f t="shared" si="1"/>
        <v>0.000508001016</v>
      </c>
      <c r="AI8" s="10">
        <f t="shared" si="1"/>
        <v>0.000508001016</v>
      </c>
      <c r="AJ8" s="10">
        <f t="shared" si="1"/>
        <v>0.000508001016</v>
      </c>
      <c r="AK8" s="10">
        <f t="shared" si="1"/>
        <v>0.000508001016</v>
      </c>
      <c r="AL8" s="10">
        <f t="shared" si="1"/>
        <v>0.000508001016</v>
      </c>
      <c r="AM8" s="10">
        <f t="shared" si="1"/>
        <v>0.000508001016</v>
      </c>
      <c r="AN8" s="10">
        <f t="shared" si="1"/>
        <v>0.000508001016</v>
      </c>
      <c r="AO8" s="10">
        <f t="shared" si="1"/>
        <v>0.000508001016</v>
      </c>
      <c r="AP8" s="10">
        <f t="shared" si="1"/>
        <v>0.000508001016</v>
      </c>
      <c r="AQ8" s="10">
        <f t="shared" si="1"/>
        <v>0.000508001016</v>
      </c>
      <c r="AR8" s="10">
        <f t="shared" si="1"/>
        <v>0.000508001016</v>
      </c>
      <c r="AS8" s="10">
        <f t="shared" si="1"/>
        <v>0.000508001016</v>
      </c>
      <c r="AT8" s="10">
        <f t="shared" si="1"/>
        <v>0.000508001016</v>
      </c>
    </row>
    <row r="9">
      <c r="A9" s="9" t="s">
        <v>9</v>
      </c>
      <c r="B9" s="10">
        <v>298.019923329623</v>
      </c>
      <c r="C9" s="10">
        <v>298.048123529624</v>
      </c>
      <c r="D9" s="10">
        <v>298.088584729505</v>
      </c>
      <c r="E9" s="10">
        <v>298.14708596825</v>
      </c>
      <c r="F9" s="10">
        <v>298.23208785119</v>
      </c>
      <c r="G9" s="10">
        <v>298.356593437535</v>
      </c>
      <c r="H9" s="10">
        <v>298.539334401192</v>
      </c>
      <c r="I9" s="10">
        <v>298.818867722203</v>
      </c>
      <c r="J9" s="10">
        <v>299.251164005855</v>
      </c>
      <c r="K9" s="10">
        <v>299.932033135166</v>
      </c>
      <c r="L9" s="10">
        <v>301.057556059876</v>
      </c>
      <c r="M9" s="10">
        <v>303.105821686181</v>
      </c>
      <c r="N9" s="10">
        <v>307.608889198363</v>
      </c>
      <c r="O9" s="10">
        <v>315.962932779801</v>
      </c>
      <c r="P9" s="10">
        <v>322.238480864305</v>
      </c>
      <c r="Q9" s="10">
        <v>330.909394650012</v>
      </c>
      <c r="R9" s="10">
        <v>337.482854895817</v>
      </c>
      <c r="S9" s="10">
        <v>342.359989664389</v>
      </c>
      <c r="T9" s="10">
        <v>346.113574412787</v>
      </c>
      <c r="U9" s="10">
        <v>349.099682548808</v>
      </c>
      <c r="V9" s="10">
        <v>351.52469351568</v>
      </c>
      <c r="W9" s="10">
        <v>353.684980336888</v>
      </c>
      <c r="X9" s="10">
        <v>355.818236093082</v>
      </c>
      <c r="Y9" s="10">
        <v>357.941313545046</v>
      </c>
      <c r="Z9" s="10">
        <v>360.054351384141</v>
      </c>
      <c r="AA9" s="10">
        <v>362.157485005079</v>
      </c>
      <c r="AB9" s="10">
        <v>364.25084718075</v>
      </c>
      <c r="AC9" s="10">
        <v>366.334568198784</v>
      </c>
      <c r="AD9" s="10">
        <v>368.408775928357</v>
      </c>
      <c r="AE9" s="10">
        <v>370.473595871472</v>
      </c>
      <c r="AF9" s="10">
        <v>372.529151208907</v>
      </c>
      <c r="AG9" s="10">
        <v>374.575562843808</v>
      </c>
      <c r="AH9" s="10">
        <v>376.612949444025</v>
      </c>
      <c r="AI9" s="10">
        <v>378.641427483644</v>
      </c>
      <c r="AJ9" s="10">
        <v>380.661111283918</v>
      </c>
      <c r="AK9" s="10">
        <v>382.672113053667</v>
      </c>
      <c r="AL9" s="10">
        <v>384.6745429292</v>
      </c>
      <c r="AM9" s="10">
        <v>386.668509013739</v>
      </c>
      <c r="AN9" s="10">
        <v>388.654117416366</v>
      </c>
      <c r="AO9" s="10">
        <v>390.631472290455</v>
      </c>
      <c r="AP9" s="10">
        <v>392.600675871589</v>
      </c>
      <c r="AQ9" s="10">
        <v>394.561828514937</v>
      </c>
      <c r="AR9" s="10">
        <v>396.515028732079</v>
      </c>
      <c r="AS9" s="10">
        <v>398.460373227265</v>
      </c>
      <c r="AT9" s="10">
        <v>400.397956933096</v>
      </c>
    </row>
    <row r="10">
      <c r="A10" s="9" t="s">
        <v>10</v>
      </c>
      <c r="B10" s="10">
        <v>5511336.68299553</v>
      </c>
      <c r="C10" s="10">
        <v>5506012.74501205</v>
      </c>
      <c r="D10" s="10">
        <v>5500689.4891008</v>
      </c>
      <c r="E10" s="10">
        <v>5495367.18017126</v>
      </c>
      <c r="F10" s="10">
        <v>5490046.20723858</v>
      </c>
      <c r="G10" s="10">
        <v>5484727.14015274</v>
      </c>
      <c r="H10" s="10">
        <v>5479410.82494367</v>
      </c>
      <c r="I10" s="10">
        <v>5474098.50131297</v>
      </c>
      <c r="J10" s="10">
        <v>5468792.21351691</v>
      </c>
      <c r="K10" s="10">
        <v>5463495.14517672</v>
      </c>
      <c r="L10" s="10">
        <v>5458212.37219376</v>
      </c>
      <c r="M10" s="10">
        <v>5452952.70058397</v>
      </c>
      <c r="N10" s="10">
        <v>5447733.52375804</v>
      </c>
      <c r="O10" s="10">
        <v>5442597.01180872</v>
      </c>
      <c r="P10" s="10">
        <v>5419737.16777257</v>
      </c>
      <c r="Q10" s="10">
        <v>5414819.79037483</v>
      </c>
      <c r="R10" s="10">
        <v>5410003.79096231</v>
      </c>
      <c r="S10" s="10">
        <v>5405253.53742932</v>
      </c>
      <c r="T10" s="10">
        <v>5400546.71642863</v>
      </c>
      <c r="U10" s="10">
        <v>5395870.53133523</v>
      </c>
      <c r="V10" s="10">
        <v>5391217.11460535</v>
      </c>
      <c r="W10" s="10">
        <v>5386581.20391246</v>
      </c>
      <c r="X10" s="10">
        <v>5381960.17881127</v>
      </c>
      <c r="Y10" s="10">
        <v>5377353.22112802</v>
      </c>
      <c r="Z10" s="10">
        <v>5372759.66394377</v>
      </c>
      <c r="AA10" s="10">
        <v>5368178.87198526</v>
      </c>
      <c r="AB10" s="10">
        <v>5363610.23963249</v>
      </c>
      <c r="AC10" s="10">
        <v>5359053.18908064</v>
      </c>
      <c r="AD10" s="10">
        <v>5354507.16863907</v>
      </c>
      <c r="AE10" s="10">
        <v>5349971.6511549</v>
      </c>
      <c r="AF10" s="10">
        <v>5345446.13255043</v>
      </c>
      <c r="AG10" s="10">
        <v>5340930.13046444</v>
      </c>
      <c r="AH10" s="10">
        <v>5336423.18298873</v>
      </c>
      <c r="AI10" s="10">
        <v>5331924.84749202</v>
      </c>
      <c r="AJ10" s="10">
        <v>5327434.69952407</v>
      </c>
      <c r="AK10" s="10">
        <v>5322952.33179348</v>
      </c>
      <c r="AL10" s="10">
        <v>5318477.35321337</v>
      </c>
      <c r="AM10" s="10">
        <v>5314009.38800963</v>
      </c>
      <c r="AN10" s="10">
        <v>5309548.0748869</v>
      </c>
      <c r="AO10" s="10">
        <v>5305093.06624778</v>
      </c>
      <c r="AP10" s="10">
        <v>5300644.02746145</v>
      </c>
      <c r="AQ10" s="10">
        <v>5296200.6361777</v>
      </c>
      <c r="AR10" s="10">
        <v>5291762.58168345</v>
      </c>
      <c r="AS10" s="10">
        <v>5287329.56429824</v>
      </c>
      <c r="AT10" s="10">
        <v>5282901.29480626</v>
      </c>
    </row>
    <row r="11">
      <c r="A11" s="9" t="s">
        <v>11</v>
      </c>
      <c r="B11" s="10">
        <v>8.41975626284657</v>
      </c>
      <c r="C11" s="10">
        <v>8.41995387940992</v>
      </c>
      <c r="D11" s="10">
        <v>8.4202235441285</v>
      </c>
      <c r="E11" s="10">
        <v>8.4205922203704</v>
      </c>
      <c r="F11" s="10">
        <v>8.42110659677536</v>
      </c>
      <c r="G11" s="10">
        <v>8.42183504844521</v>
      </c>
      <c r="H11" s="10">
        <v>8.42288270396183</v>
      </c>
      <c r="I11" s="10">
        <v>8.42440111106134</v>
      </c>
      <c r="J11" s="10">
        <v>8.42670234703852</v>
      </c>
      <c r="K11" s="10">
        <v>8.43024014292216</v>
      </c>
      <c r="L11" s="10">
        <v>8.43579265485596</v>
      </c>
      <c r="M11" s="10">
        <v>8.44495619354923</v>
      </c>
      <c r="N11" s="10">
        <v>8.46163733953289</v>
      </c>
      <c r="O11" s="10">
        <v>8.49844335890937</v>
      </c>
      <c r="P11" s="10">
        <v>18.1855070193685</v>
      </c>
      <c r="Q11" s="10">
        <v>8.62001722086299</v>
      </c>
      <c r="R11" s="10">
        <v>8.69347654053901</v>
      </c>
      <c r="S11" s="10">
        <v>8.75000034935087</v>
      </c>
      <c r="T11" s="10">
        <v>8.79243993770911</v>
      </c>
      <c r="U11" s="10">
        <v>8.82541257791003</v>
      </c>
      <c r="V11" s="10">
        <v>8.85184648318096</v>
      </c>
      <c r="W11" s="10">
        <v>8.873452660658</v>
      </c>
      <c r="X11" s="10">
        <v>8.89280614091404</v>
      </c>
      <c r="Y11" s="10">
        <v>8.91201252410881</v>
      </c>
      <c r="Z11" s="10">
        <v>8.93122242616807</v>
      </c>
      <c r="AA11" s="10">
        <v>8.95043751533965</v>
      </c>
      <c r="AB11" s="10">
        <v>8.96965943367769</v>
      </c>
      <c r="AC11" s="10">
        <v>8.9888898036209</v>
      </c>
      <c r="AD11" s="10">
        <v>9.00813022974654</v>
      </c>
      <c r="AE11" s="10">
        <v>9.02738229987756</v>
      </c>
      <c r="AF11" s="10">
        <v>9.04664758602582</v>
      </c>
      <c r="AG11" s="10">
        <v>9.06592764526422</v>
      </c>
      <c r="AH11" s="10">
        <v>9.08522402056235</v>
      </c>
      <c r="AI11" s="10">
        <v>9.10453824158723</v>
      </c>
      <c r="AJ11" s="10">
        <v>9.12387182548034</v>
      </c>
      <c r="AK11" s="10">
        <v>9.1432262776131</v>
      </c>
      <c r="AL11" s="10">
        <v>9.16260309232261</v>
      </c>
      <c r="AM11" s="10">
        <v>9.18200375362945</v>
      </c>
      <c r="AN11" s="10">
        <v>9.20142973593857</v>
      </c>
      <c r="AO11" s="10">
        <v>9.22088250472449</v>
      </c>
      <c r="AP11" s="10">
        <v>9.24036351720151</v>
      </c>
      <c r="AQ11" s="10">
        <v>9.25987422298007</v>
      </c>
      <c r="AR11" s="10">
        <v>9.27941606470974</v>
      </c>
      <c r="AS11" s="10">
        <v>9.29899047870982</v>
      </c>
      <c r="AT11" s="10">
        <v>9.31859889558799</v>
      </c>
    </row>
    <row r="12">
      <c r="A12" s="9" t="s">
        <v>12</v>
      </c>
      <c r="B12" s="10">
        <v>21313.18479289</v>
      </c>
      <c r="C12" s="10">
        <v>30852.026607608</v>
      </c>
      <c r="D12" s="10">
        <v>44668.0951130917</v>
      </c>
      <c r="E12" s="10">
        <v>65240.2347164351</v>
      </c>
      <c r="F12" s="10">
        <v>95861.2295633073</v>
      </c>
      <c r="G12" s="10">
        <v>142174.327048946</v>
      </c>
      <c r="H12" s="10">
        <v>211540.631547172</v>
      </c>
      <c r="I12" s="10">
        <v>328937.827960181</v>
      </c>
      <c r="J12" s="10">
        <v>518129.320238202</v>
      </c>
      <c r="K12" s="10">
        <v>833159.584661516</v>
      </c>
      <c r="L12" s="10">
        <v>1411534.10004888</v>
      </c>
      <c r="M12" s="10">
        <v>2647600.55303113</v>
      </c>
      <c r="N12" s="10">
        <v>6012174.81465761</v>
      </c>
      <c r="O12" s="10">
        <v>1.12422788305267E7</v>
      </c>
      <c r="P12" s="10">
        <v>1.2734381001699E7</v>
      </c>
      <c r="Q12" s="10">
        <v>1.11112606000777E7</v>
      </c>
      <c r="R12" s="10">
        <v>8153325.12389819</v>
      </c>
      <c r="S12" s="10">
        <v>5896665.86739832</v>
      </c>
      <c r="T12" s="10">
        <v>4457540.01813545</v>
      </c>
      <c r="U12" s="10">
        <v>3499165.88612849</v>
      </c>
      <c r="V12" s="10">
        <v>2811041.92924398</v>
      </c>
      <c r="W12" s="10">
        <v>2495725.55025184</v>
      </c>
      <c r="X12" s="10">
        <v>2475030.51847271</v>
      </c>
      <c r="Y12" s="10">
        <v>2475030.51847271</v>
      </c>
      <c r="Z12" s="10">
        <v>2475030.51847271</v>
      </c>
      <c r="AA12" s="10">
        <v>2475030.51847271</v>
      </c>
      <c r="AB12" s="10">
        <v>2475030.51847271</v>
      </c>
      <c r="AC12" s="10">
        <v>2475030.51847271</v>
      </c>
      <c r="AD12" s="10">
        <v>2475030.51847271</v>
      </c>
      <c r="AE12" s="10">
        <v>2475030.51847271</v>
      </c>
      <c r="AF12" s="10">
        <v>2475030.51847271</v>
      </c>
      <c r="AG12" s="10">
        <v>2475030.51847271</v>
      </c>
      <c r="AH12" s="10">
        <v>2475030.51847271</v>
      </c>
      <c r="AI12" s="10">
        <v>2475030.51847271</v>
      </c>
      <c r="AJ12" s="10">
        <v>2475030.51847271</v>
      </c>
      <c r="AK12" s="10">
        <v>2475030.51847271</v>
      </c>
      <c r="AL12" s="10">
        <v>2475030.51847271</v>
      </c>
      <c r="AM12" s="10">
        <v>2475030.51847271</v>
      </c>
      <c r="AN12" s="10">
        <v>2475030.51847271</v>
      </c>
      <c r="AO12" s="10">
        <v>2475030.51847271</v>
      </c>
      <c r="AP12" s="10">
        <v>2475030.51847271</v>
      </c>
      <c r="AQ12" s="10">
        <v>2475030.51847271</v>
      </c>
      <c r="AR12" s="10">
        <v>2475030.51847271</v>
      </c>
      <c r="AS12" s="10">
        <v>2475030.51847271</v>
      </c>
      <c r="AT12" s="10">
        <v>2475030.51847271</v>
      </c>
    </row>
    <row r="13">
      <c r="A13" s="9" t="s">
        <v>13</v>
      </c>
      <c r="B13" s="10">
        <v>6728.90150706951</v>
      </c>
      <c r="C13" s="10">
        <v>12524.2835131681</v>
      </c>
      <c r="D13" s="10">
        <v>21387.5235489999</v>
      </c>
      <c r="E13" s="10">
        <v>35214.2136181455</v>
      </c>
      <c r="F13" s="10">
        <v>56642.0214901075</v>
      </c>
      <c r="G13" s="10">
        <v>90211.577746055</v>
      </c>
      <c r="H13" s="10">
        <v>142061.900579094</v>
      </c>
      <c r="I13" s="10">
        <v>232340.775331856</v>
      </c>
      <c r="J13" s="10">
        <v>381674.201765365</v>
      </c>
      <c r="K13" s="10">
        <v>636260.067378577</v>
      </c>
      <c r="L13" s="10">
        <v>1114197.25653265</v>
      </c>
      <c r="M13" s="10">
        <v>2159140.23190711</v>
      </c>
      <c r="N13" s="10">
        <v>5079078.89550961</v>
      </c>
      <c r="O13" s="10">
        <v>9746611.5422818</v>
      </c>
      <c r="P13" s="10">
        <v>1.11551774309764E7</v>
      </c>
      <c r="Q13" s="10">
        <v>9788138.01086372</v>
      </c>
      <c r="R13" s="10">
        <v>7201335.14960771</v>
      </c>
      <c r="S13" s="10">
        <v>5213415.8639064</v>
      </c>
      <c r="T13" s="10">
        <v>3942709.91350902</v>
      </c>
      <c r="U13" s="10">
        <v>3095684.82504509</v>
      </c>
      <c r="V13" s="10">
        <v>2487216.41206029</v>
      </c>
      <c r="W13" s="10">
        <v>2208338.1511832</v>
      </c>
      <c r="X13" s="10">
        <v>2190033.15278499</v>
      </c>
      <c r="Y13" s="10">
        <v>2190033.15278499</v>
      </c>
      <c r="Z13" s="10">
        <v>2190033.15278499</v>
      </c>
      <c r="AA13" s="10">
        <v>2190033.15278499</v>
      </c>
      <c r="AB13" s="10">
        <v>2190033.15278499</v>
      </c>
      <c r="AC13" s="10">
        <v>2190033.15278499</v>
      </c>
      <c r="AD13" s="10">
        <v>2190033.15278499</v>
      </c>
      <c r="AE13" s="10">
        <v>2190033.15278499</v>
      </c>
      <c r="AF13" s="10">
        <v>2190033.15278499</v>
      </c>
      <c r="AG13" s="10">
        <v>2190033.15278499</v>
      </c>
      <c r="AH13" s="10">
        <v>2190033.15278499</v>
      </c>
      <c r="AI13" s="10">
        <v>2190033.15278499</v>
      </c>
      <c r="AJ13" s="10">
        <v>2190033.15278499</v>
      </c>
      <c r="AK13" s="10">
        <v>2190033.15278499</v>
      </c>
      <c r="AL13" s="10">
        <v>2190033.15278499</v>
      </c>
      <c r="AM13" s="10">
        <v>2190033.15278499</v>
      </c>
      <c r="AN13" s="10">
        <v>2190033.15278499</v>
      </c>
      <c r="AO13" s="10">
        <v>2190033.15278499</v>
      </c>
      <c r="AP13" s="10">
        <v>2190033.15278499</v>
      </c>
      <c r="AQ13" s="10">
        <v>2190033.15278499</v>
      </c>
      <c r="AR13" s="10">
        <v>2190033.15278499</v>
      </c>
      <c r="AS13" s="10">
        <v>2190033.15278499</v>
      </c>
      <c r="AT13" s="10">
        <v>2190033.15278499</v>
      </c>
    </row>
    <row r="14">
      <c r="A14" s="9" t="s">
        <v>14</v>
      </c>
      <c r="B14" s="10">
        <v>589.9151</v>
      </c>
      <c r="C14" s="10">
        <v>589.8465</v>
      </c>
      <c r="D14" s="10">
        <v>589.7376</v>
      </c>
      <c r="E14" s="10">
        <v>589.5675</v>
      </c>
      <c r="F14" s="10">
        <v>589.3036</v>
      </c>
      <c r="G14" s="10">
        <v>588.8894</v>
      </c>
      <c r="H14" s="10">
        <v>588.2485</v>
      </c>
      <c r="I14" s="10">
        <v>587.1302</v>
      </c>
      <c r="J14" s="10">
        <v>585.2757</v>
      </c>
      <c r="K14" s="10">
        <v>582.1048</v>
      </c>
      <c r="L14" s="10">
        <v>576.1292</v>
      </c>
      <c r="M14" s="10">
        <v>562.9878</v>
      </c>
      <c r="N14" s="10">
        <v>525.8851</v>
      </c>
      <c r="O14" s="10">
        <v>466.3339</v>
      </c>
      <c r="P14" s="10">
        <v>450.6154</v>
      </c>
      <c r="Q14" s="10">
        <v>470.9337</v>
      </c>
      <c r="R14" s="10">
        <v>504.7823</v>
      </c>
      <c r="S14" s="10">
        <v>529.539</v>
      </c>
      <c r="T14" s="10">
        <v>544.8987</v>
      </c>
      <c r="U14" s="10">
        <v>554.9326</v>
      </c>
      <c r="V14" s="10">
        <v>562.033</v>
      </c>
      <c r="W14" s="10">
        <v>565.2879</v>
      </c>
      <c r="X14" s="10">
        <v>565.5632</v>
      </c>
      <c r="Y14" s="10">
        <v>565.6271</v>
      </c>
      <c r="Z14" s="10">
        <v>565.6893</v>
      </c>
      <c r="AA14" s="10">
        <v>565.7499</v>
      </c>
      <c r="AB14" s="10">
        <v>565.8092</v>
      </c>
      <c r="AC14" s="10">
        <v>565.8669</v>
      </c>
      <c r="AD14" s="10">
        <v>565.9233</v>
      </c>
      <c r="AE14" s="10">
        <v>565.9784</v>
      </c>
      <c r="AF14" s="10">
        <v>566.0322</v>
      </c>
      <c r="AG14" s="10">
        <v>566.0848</v>
      </c>
      <c r="AH14" s="10">
        <v>566.1362</v>
      </c>
      <c r="AI14" s="10">
        <v>566.1865</v>
      </c>
      <c r="AJ14" s="10">
        <v>566.2357</v>
      </c>
      <c r="AK14" s="10">
        <v>566.2838</v>
      </c>
      <c r="AL14" s="10">
        <v>566.3309</v>
      </c>
      <c r="AM14" s="10">
        <v>566.377</v>
      </c>
      <c r="AN14" s="10">
        <v>566.4222</v>
      </c>
      <c r="AO14" s="10">
        <v>566.4664</v>
      </c>
      <c r="AP14" s="10">
        <v>566.5097</v>
      </c>
      <c r="AQ14" s="10">
        <v>566.5522</v>
      </c>
      <c r="AR14" s="10">
        <v>566.5939</v>
      </c>
      <c r="AS14" s="10">
        <v>566.6347</v>
      </c>
      <c r="AT14" s="10">
        <v>566.6748</v>
      </c>
    </row>
    <row r="15">
      <c r="A15" s="9" t="s">
        <v>15</v>
      </c>
      <c r="B15" s="1">
        <f t="array" ref="B15:AT15">TRANSPOSE(C207:C251)</f>
        <v>28670</v>
      </c>
      <c r="C15" s="1">
        <v>30501.0</v>
      </c>
      <c r="D15" s="1">
        <v>30503.0</v>
      </c>
      <c r="E15" s="1">
        <v>30507.0</v>
      </c>
      <c r="F15" s="1">
        <v>30511.0</v>
      </c>
      <c r="G15" s="1">
        <v>30517.0</v>
      </c>
      <c r="H15" s="1">
        <v>30525.0</v>
      </c>
      <c r="I15" s="1">
        <v>30533.0</v>
      </c>
      <c r="J15" s="1">
        <v>30544.0</v>
      </c>
      <c r="K15" s="1">
        <v>30555.0</v>
      </c>
      <c r="L15" s="11">
        <v>30557.0</v>
      </c>
      <c r="M15" s="11">
        <v>30509.0</v>
      </c>
      <c r="N15" s="11">
        <v>30212.0</v>
      </c>
      <c r="O15" s="11">
        <v>29861.0</v>
      </c>
      <c r="P15" s="11">
        <v>30613.0</v>
      </c>
      <c r="Q15" s="11">
        <v>31796.0</v>
      </c>
      <c r="R15" s="11">
        <v>33412.0</v>
      </c>
      <c r="S15" s="11">
        <v>34724.0</v>
      </c>
      <c r="T15" s="11">
        <v>35649.0</v>
      </c>
      <c r="U15" s="11">
        <v>36323.0</v>
      </c>
      <c r="V15" s="11">
        <v>36838.0</v>
      </c>
      <c r="W15" s="11">
        <v>37202.0</v>
      </c>
      <c r="X15" s="11">
        <v>37463.0</v>
      </c>
      <c r="Y15" s="11">
        <v>37707.0</v>
      </c>
      <c r="Z15" s="11">
        <v>37946.0</v>
      </c>
      <c r="AA15" s="11">
        <v>38183.0</v>
      </c>
      <c r="AB15" s="11">
        <v>38415.0</v>
      </c>
      <c r="AC15" s="11">
        <v>38644.0</v>
      </c>
      <c r="AD15" s="11">
        <v>38870.0</v>
      </c>
      <c r="AE15" s="11">
        <v>39093.0</v>
      </c>
      <c r="AF15" s="11">
        <v>39313.0</v>
      </c>
      <c r="AG15" s="11">
        <v>39529.0</v>
      </c>
      <c r="AH15" s="11">
        <v>39743.0</v>
      </c>
      <c r="AI15" s="11">
        <v>39953.0</v>
      </c>
      <c r="AJ15" s="11">
        <v>40161.0</v>
      </c>
      <c r="AK15" s="11">
        <v>40366.0</v>
      </c>
      <c r="AL15" s="11">
        <v>40569.0</v>
      </c>
      <c r="AM15" s="11">
        <v>40769.0</v>
      </c>
      <c r="AN15" s="11">
        <v>40966.0</v>
      </c>
      <c r="AO15" s="11">
        <v>41161.0</v>
      </c>
      <c r="AP15" s="11">
        <v>41354.0</v>
      </c>
      <c r="AQ15" s="11">
        <v>41544.0</v>
      </c>
      <c r="AR15" s="11">
        <v>41732.0</v>
      </c>
      <c r="AS15" s="11">
        <v>41917.0</v>
      </c>
      <c r="AT15" s="11">
        <v>42101.0</v>
      </c>
    </row>
    <row r="16">
      <c r="A16" s="12" t="s">
        <v>16</v>
      </c>
      <c r="B16" s="10">
        <f t="array" ref="B16:AT16">TRANSPOSE(D25:D69)</f>
        <v>157</v>
      </c>
      <c r="C16" s="13">
        <v>195.0</v>
      </c>
      <c r="D16" s="13">
        <v>244.00000000000003</v>
      </c>
      <c r="E16" s="13">
        <v>310.0</v>
      </c>
      <c r="F16" s="13">
        <v>398.0</v>
      </c>
      <c r="G16" s="13">
        <v>519.0</v>
      </c>
      <c r="H16" s="13">
        <v>684.0</v>
      </c>
      <c r="I16" s="13">
        <v>934.0</v>
      </c>
      <c r="J16" s="13">
        <v>1297.0</v>
      </c>
      <c r="K16" s="13">
        <v>1838.0</v>
      </c>
      <c r="L16" s="13">
        <v>2723.9999999999995</v>
      </c>
      <c r="M16" s="13">
        <v>4379.0</v>
      </c>
      <c r="N16" s="13">
        <v>8148.0</v>
      </c>
      <c r="O16" s="13">
        <v>12809.0</v>
      </c>
      <c r="P16" s="13">
        <v>13441.0</v>
      </c>
      <c r="Q16" s="13">
        <v>11244.0</v>
      </c>
      <c r="R16" s="13">
        <v>8094.0</v>
      </c>
      <c r="S16" s="13">
        <v>5815.0</v>
      </c>
      <c r="T16" s="13">
        <v>4384.0</v>
      </c>
      <c r="U16" s="13">
        <v>3438.0</v>
      </c>
      <c r="V16" s="13">
        <v>2760.0000000000005</v>
      </c>
      <c r="W16" s="13">
        <v>2450.0</v>
      </c>
      <c r="X16" s="13">
        <v>2430.0</v>
      </c>
      <c r="Y16" s="13">
        <v>2430.0</v>
      </c>
      <c r="Z16" s="13">
        <v>2430.0</v>
      </c>
      <c r="AA16" s="13">
        <v>2430.0</v>
      </c>
      <c r="AB16" s="13">
        <v>2430.0</v>
      </c>
      <c r="AC16" s="13">
        <v>2430.0</v>
      </c>
      <c r="AD16" s="13">
        <v>2430.0</v>
      </c>
      <c r="AE16" s="13">
        <v>2430.0</v>
      </c>
      <c r="AF16" s="13">
        <v>2430.0</v>
      </c>
      <c r="AG16" s="13">
        <v>2430.0</v>
      </c>
      <c r="AH16" s="13">
        <v>2430.0</v>
      </c>
      <c r="AI16" s="13">
        <v>2430.0</v>
      </c>
      <c r="AJ16" s="13">
        <v>2430.0</v>
      </c>
      <c r="AK16" s="13">
        <v>2430.0</v>
      </c>
      <c r="AL16" s="13">
        <v>2430.0</v>
      </c>
      <c r="AM16" s="13">
        <v>2430.0</v>
      </c>
      <c r="AN16" s="13">
        <v>2430.0</v>
      </c>
      <c r="AO16" s="13">
        <v>2430.0</v>
      </c>
      <c r="AP16" s="13">
        <v>2430.0</v>
      </c>
      <c r="AQ16" s="13">
        <v>2430.0</v>
      </c>
      <c r="AR16" s="13">
        <v>2430.0</v>
      </c>
      <c r="AS16" s="13">
        <v>2430.0</v>
      </c>
      <c r="AT16" s="13">
        <v>2430.0</v>
      </c>
    </row>
    <row r="17">
      <c r="B17" s="14" t="s">
        <v>17</v>
      </c>
    </row>
    <row r="20">
      <c r="A20" s="14" t="s">
        <v>18</v>
      </c>
      <c r="C20" s="14" t="s">
        <v>19</v>
      </c>
      <c r="G20" s="15">
        <f>LINEARINTERPOLATE(C6,O6,14)</f>
        <v>0.00317500635</v>
      </c>
      <c r="H20" s="15">
        <f>LINEARINTERPOLATE(P6,B7,9)</f>
        <v>0.001549354192</v>
      </c>
      <c r="I20" s="15" t="str">
        <f>trasn</f>
        <v>#NAME?</v>
      </c>
    </row>
    <row r="21">
      <c r="C21" s="14" t="s">
        <v>20</v>
      </c>
      <c r="G21" s="15">
        <v>0.003051236350011723</v>
      </c>
      <c r="H21" s="15">
        <v>0.0017525607114190875</v>
      </c>
      <c r="K21" s="14">
        <v>0.050166592454545</v>
      </c>
      <c r="L21" s="15">
        <f t="shared" ref="L21:L65" si="2">K21/2</f>
        <v>0.02508329623</v>
      </c>
    </row>
    <row r="22">
      <c r="G22" s="15">
        <v>0.002927466350010746</v>
      </c>
      <c r="H22" s="15">
        <v>0.001955767231218175</v>
      </c>
      <c r="K22" s="14">
        <v>0.04800750373913</v>
      </c>
      <c r="L22" s="15">
        <f t="shared" si="2"/>
        <v>0.02400375187</v>
      </c>
    </row>
    <row r="23">
      <c r="A23" s="1"/>
      <c r="C23" s="14" t="s">
        <v>21</v>
      </c>
      <c r="G23" s="15">
        <v>0.002803696350009769</v>
      </c>
      <c r="H23" s="15">
        <v>0.0021589737510172625</v>
      </c>
      <c r="K23" s="14">
        <v>0.045848415</v>
      </c>
      <c r="L23" s="15">
        <f t="shared" si="2"/>
        <v>0.0229242075</v>
      </c>
    </row>
    <row r="24">
      <c r="G24" s="15">
        <v>0.0026799263500087924</v>
      </c>
      <c r="H24" s="15">
        <v>0.00236218027081635</v>
      </c>
      <c r="K24" s="14">
        <v>0.043663155</v>
      </c>
      <c r="L24" s="15">
        <f t="shared" si="2"/>
        <v>0.0218315775</v>
      </c>
    </row>
    <row r="25">
      <c r="C25" s="14">
        <v>0.0157</v>
      </c>
      <c r="D25" s="15">
        <f t="shared" ref="D25:D69" si="3">C25*10^4</f>
        <v>157</v>
      </c>
      <c r="G25" s="15">
        <v>0.0025561563500078152</v>
      </c>
      <c r="H25" s="15">
        <v>0.0025653867906154375</v>
      </c>
      <c r="K25" s="14">
        <v>0.041486429391304</v>
      </c>
      <c r="L25" s="15">
        <f t="shared" si="2"/>
        <v>0.0207432147</v>
      </c>
    </row>
    <row r="26">
      <c r="C26" s="14">
        <v>0.0195</v>
      </c>
      <c r="D26" s="15">
        <f t="shared" si="3"/>
        <v>195</v>
      </c>
      <c r="G26" s="15">
        <v>0.0024323863500068385</v>
      </c>
      <c r="H26" s="15">
        <v>0.002768593310414525</v>
      </c>
      <c r="K26" s="14">
        <v>0.039318806727273</v>
      </c>
      <c r="L26" s="15">
        <f t="shared" si="2"/>
        <v>0.01965940336</v>
      </c>
    </row>
    <row r="27">
      <c r="C27" s="14">
        <v>0.0244</v>
      </c>
      <c r="D27" s="15">
        <f t="shared" si="3"/>
        <v>244</v>
      </c>
      <c r="G27" s="15">
        <v>0.0023086163500058614</v>
      </c>
      <c r="H27" s="15">
        <v>0.0029717998302136125</v>
      </c>
      <c r="K27" s="14">
        <v>0.037212059</v>
      </c>
      <c r="L27" s="15">
        <f t="shared" si="2"/>
        <v>0.0186060295</v>
      </c>
    </row>
    <row r="28">
      <c r="A28" s="1"/>
      <c r="C28" s="14">
        <v>0.031</v>
      </c>
      <c r="D28" s="15">
        <f t="shared" si="3"/>
        <v>310</v>
      </c>
      <c r="G28" s="15">
        <v>0.0021848463500048843</v>
      </c>
      <c r="H28" s="15">
        <v>0.0031750063500127</v>
      </c>
      <c r="K28" s="14">
        <v>0.034977871478261</v>
      </c>
      <c r="L28" s="15">
        <f t="shared" si="2"/>
        <v>0.01748893574</v>
      </c>
    </row>
    <row r="29">
      <c r="C29" s="14">
        <v>0.0398</v>
      </c>
      <c r="D29" s="15">
        <f t="shared" si="3"/>
        <v>398</v>
      </c>
      <c r="G29" s="15">
        <v>0.0020610763500039076</v>
      </c>
      <c r="K29" s="14">
        <v>0.032802283818182</v>
      </c>
      <c r="L29" s="15">
        <f t="shared" si="2"/>
        <v>0.01640114191</v>
      </c>
    </row>
    <row r="30">
      <c r="C30" s="14">
        <v>0.0519</v>
      </c>
      <c r="D30" s="15">
        <f t="shared" si="3"/>
        <v>519</v>
      </c>
      <c r="G30" s="15">
        <v>0.0019373063500029307</v>
      </c>
      <c r="K30" s="14">
        <v>0.030682451</v>
      </c>
      <c r="L30" s="15">
        <f t="shared" si="2"/>
        <v>0.0153412255</v>
      </c>
    </row>
    <row r="31">
      <c r="C31" s="14">
        <v>0.0684</v>
      </c>
      <c r="D31" s="15">
        <f t="shared" si="3"/>
        <v>684</v>
      </c>
      <c r="G31" s="15">
        <v>0.0018135363500019538</v>
      </c>
      <c r="K31" s="14">
        <v>0.028531895913043</v>
      </c>
      <c r="L31" s="15">
        <f t="shared" si="2"/>
        <v>0.01426594796</v>
      </c>
    </row>
    <row r="32">
      <c r="C32" s="14">
        <v>0.0934</v>
      </c>
      <c r="D32" s="15">
        <f t="shared" si="3"/>
        <v>934</v>
      </c>
      <c r="G32" s="15">
        <v>0.0016897663500009766</v>
      </c>
      <c r="K32" s="14">
        <v>0.026285760909091</v>
      </c>
      <c r="L32" s="15">
        <f t="shared" si="2"/>
        <v>0.01314288045</v>
      </c>
    </row>
    <row r="33">
      <c r="A33" s="1"/>
      <c r="C33" s="14">
        <v>0.1297</v>
      </c>
      <c r="D33" s="15">
        <f t="shared" si="3"/>
        <v>1297</v>
      </c>
      <c r="G33" s="15">
        <v>0.0015659963499999997</v>
      </c>
      <c r="K33" s="14">
        <v>0.024190478636364</v>
      </c>
      <c r="L33" s="15">
        <f t="shared" si="2"/>
        <v>0.01209523932</v>
      </c>
    </row>
    <row r="34">
      <c r="C34" s="14">
        <v>0.1838</v>
      </c>
      <c r="D34" s="15">
        <f t="shared" si="3"/>
        <v>1838</v>
      </c>
      <c r="K34" s="14">
        <v>0.023927977636364</v>
      </c>
      <c r="L34" s="15">
        <f t="shared" si="2"/>
        <v>0.01196398882</v>
      </c>
    </row>
    <row r="35">
      <c r="C35" s="14">
        <v>0.2724</v>
      </c>
      <c r="D35" s="15">
        <f t="shared" si="3"/>
        <v>2724</v>
      </c>
      <c r="K35" s="14">
        <v>0.026127478086957</v>
      </c>
      <c r="L35" s="15">
        <f t="shared" si="2"/>
        <v>0.01306373904</v>
      </c>
    </row>
    <row r="36">
      <c r="C36" s="14">
        <v>0.4379</v>
      </c>
      <c r="D36" s="15">
        <f t="shared" si="3"/>
        <v>4379</v>
      </c>
      <c r="K36" s="14">
        <v>0.030812167090909</v>
      </c>
      <c r="L36" s="15">
        <f t="shared" si="2"/>
        <v>0.01540608355</v>
      </c>
    </row>
    <row r="37">
      <c r="C37" s="14">
        <v>0.8148</v>
      </c>
      <c r="D37" s="15">
        <f t="shared" si="3"/>
        <v>8148</v>
      </c>
      <c r="K37" s="14">
        <v>0.038167324818182</v>
      </c>
      <c r="L37" s="15">
        <f t="shared" si="2"/>
        <v>0.01908366241</v>
      </c>
    </row>
    <row r="38">
      <c r="A38" s="1"/>
      <c r="C38" s="14">
        <v>1.2809</v>
      </c>
      <c r="D38" s="15">
        <f t="shared" si="3"/>
        <v>12809</v>
      </c>
      <c r="K38" s="14">
        <v>0.046436934608696</v>
      </c>
      <c r="L38" s="15">
        <f t="shared" si="2"/>
        <v>0.0232184673</v>
      </c>
    </row>
    <row r="39">
      <c r="C39" s="14">
        <v>1.3441</v>
      </c>
      <c r="D39" s="15">
        <f t="shared" si="3"/>
        <v>13441</v>
      </c>
      <c r="K39" s="14">
        <v>0.054612746454545</v>
      </c>
      <c r="L39" s="15">
        <f t="shared" si="2"/>
        <v>0.02730637323</v>
      </c>
    </row>
    <row r="40">
      <c r="C40" s="14">
        <v>1.1244</v>
      </c>
      <c r="D40" s="15">
        <f t="shared" si="3"/>
        <v>11244</v>
      </c>
      <c r="K40" s="14">
        <v>0.062676308</v>
      </c>
      <c r="L40" s="15">
        <f t="shared" si="2"/>
        <v>0.031338154</v>
      </c>
    </row>
    <row r="41">
      <c r="C41" s="14">
        <v>0.8094</v>
      </c>
      <c r="D41" s="15">
        <f t="shared" si="3"/>
        <v>8094</v>
      </c>
      <c r="K41" s="14">
        <v>0.070909209217391</v>
      </c>
      <c r="L41" s="15">
        <f t="shared" si="2"/>
        <v>0.03545460461</v>
      </c>
    </row>
    <row r="42">
      <c r="C42" s="14">
        <v>0.5815</v>
      </c>
      <c r="D42" s="15">
        <f t="shared" si="3"/>
        <v>5815</v>
      </c>
      <c r="K42" s="14">
        <v>0.075845092727273</v>
      </c>
      <c r="L42" s="15">
        <f t="shared" si="2"/>
        <v>0.03792254636</v>
      </c>
    </row>
    <row r="43">
      <c r="A43" s="1"/>
      <c r="C43" s="14">
        <v>0.4384</v>
      </c>
      <c r="D43" s="15">
        <f t="shared" si="3"/>
        <v>4384</v>
      </c>
      <c r="K43" s="14">
        <v>0.0762</v>
      </c>
      <c r="L43" s="15">
        <f t="shared" si="2"/>
        <v>0.0381</v>
      </c>
    </row>
    <row r="44">
      <c r="C44" s="14">
        <v>0.3438</v>
      </c>
      <c r="D44" s="15">
        <f t="shared" si="3"/>
        <v>3438</v>
      </c>
      <c r="K44" s="14">
        <v>0.0762</v>
      </c>
      <c r="L44" s="15">
        <f t="shared" si="2"/>
        <v>0.0381</v>
      </c>
    </row>
    <row r="45">
      <c r="C45" s="14">
        <v>0.276</v>
      </c>
      <c r="D45" s="15">
        <f t="shared" si="3"/>
        <v>2760</v>
      </c>
      <c r="K45" s="14">
        <v>0.0762</v>
      </c>
      <c r="L45" s="15">
        <f t="shared" si="2"/>
        <v>0.0381</v>
      </c>
    </row>
    <row r="46">
      <c r="C46" s="14">
        <v>0.245</v>
      </c>
      <c r="D46" s="15">
        <f t="shared" si="3"/>
        <v>2450</v>
      </c>
      <c r="K46" s="14">
        <v>0.0762</v>
      </c>
      <c r="L46" s="15">
        <f t="shared" si="2"/>
        <v>0.0381</v>
      </c>
    </row>
    <row r="47">
      <c r="C47" s="14">
        <v>0.243</v>
      </c>
      <c r="D47" s="15">
        <f t="shared" si="3"/>
        <v>2430</v>
      </c>
      <c r="K47" s="14">
        <v>0.0762</v>
      </c>
      <c r="L47" s="15">
        <f t="shared" si="2"/>
        <v>0.0381</v>
      </c>
    </row>
    <row r="48">
      <c r="A48" s="1"/>
      <c r="C48" s="14">
        <v>0.243</v>
      </c>
      <c r="D48" s="15">
        <f t="shared" si="3"/>
        <v>2430</v>
      </c>
      <c r="K48" s="14">
        <v>0.0762</v>
      </c>
      <c r="L48" s="15">
        <f t="shared" si="2"/>
        <v>0.0381</v>
      </c>
    </row>
    <row r="49">
      <c r="C49" s="14">
        <v>0.243</v>
      </c>
      <c r="D49" s="15">
        <f t="shared" si="3"/>
        <v>2430</v>
      </c>
      <c r="K49" s="14">
        <v>0.0762</v>
      </c>
      <c r="L49" s="15">
        <f t="shared" si="2"/>
        <v>0.0381</v>
      </c>
    </row>
    <row r="50">
      <c r="C50" s="14">
        <v>0.243</v>
      </c>
      <c r="D50" s="15">
        <f t="shared" si="3"/>
        <v>2430</v>
      </c>
      <c r="K50" s="14">
        <v>0.0762</v>
      </c>
      <c r="L50" s="15">
        <f t="shared" si="2"/>
        <v>0.0381</v>
      </c>
    </row>
    <row r="51">
      <c r="C51" s="14">
        <v>0.243</v>
      </c>
      <c r="D51" s="15">
        <f t="shared" si="3"/>
        <v>2430</v>
      </c>
      <c r="K51" s="14">
        <v>0.0762</v>
      </c>
      <c r="L51" s="15">
        <f t="shared" si="2"/>
        <v>0.0381</v>
      </c>
    </row>
    <row r="52">
      <c r="C52" s="14">
        <v>0.243</v>
      </c>
      <c r="D52" s="15">
        <f t="shared" si="3"/>
        <v>2430</v>
      </c>
      <c r="K52" s="14">
        <v>0.0762</v>
      </c>
      <c r="L52" s="15">
        <f t="shared" si="2"/>
        <v>0.0381</v>
      </c>
    </row>
    <row r="53">
      <c r="A53" s="1"/>
      <c r="C53" s="14">
        <v>0.243</v>
      </c>
      <c r="D53" s="15">
        <f t="shared" si="3"/>
        <v>2430</v>
      </c>
      <c r="K53" s="14">
        <v>0.0762</v>
      </c>
      <c r="L53" s="15">
        <f t="shared" si="2"/>
        <v>0.0381</v>
      </c>
    </row>
    <row r="54">
      <c r="C54" s="14">
        <v>0.243</v>
      </c>
      <c r="D54" s="15">
        <f t="shared" si="3"/>
        <v>2430</v>
      </c>
      <c r="K54" s="14">
        <v>0.0762</v>
      </c>
      <c r="L54" s="15">
        <f t="shared" si="2"/>
        <v>0.0381</v>
      </c>
    </row>
    <row r="55">
      <c r="C55" s="14">
        <v>0.243</v>
      </c>
      <c r="D55" s="15">
        <f t="shared" si="3"/>
        <v>2430</v>
      </c>
      <c r="K55" s="14">
        <v>0.0762</v>
      </c>
      <c r="L55" s="15">
        <f t="shared" si="2"/>
        <v>0.0381</v>
      </c>
    </row>
    <row r="56">
      <c r="C56" s="14">
        <v>0.243</v>
      </c>
      <c r="D56" s="15">
        <f t="shared" si="3"/>
        <v>2430</v>
      </c>
      <c r="K56" s="14">
        <v>0.0762</v>
      </c>
      <c r="L56" s="15">
        <f t="shared" si="2"/>
        <v>0.0381</v>
      </c>
    </row>
    <row r="57">
      <c r="C57" s="14">
        <v>0.243</v>
      </c>
      <c r="D57" s="15">
        <f t="shared" si="3"/>
        <v>2430</v>
      </c>
      <c r="K57" s="14">
        <v>0.0762</v>
      </c>
      <c r="L57" s="15">
        <f t="shared" si="2"/>
        <v>0.0381</v>
      </c>
    </row>
    <row r="58">
      <c r="A58" s="1"/>
      <c r="C58" s="14">
        <v>0.243</v>
      </c>
      <c r="D58" s="15">
        <f t="shared" si="3"/>
        <v>2430</v>
      </c>
      <c r="K58" s="14">
        <v>0.0762</v>
      </c>
      <c r="L58" s="15">
        <f t="shared" si="2"/>
        <v>0.0381</v>
      </c>
    </row>
    <row r="59">
      <c r="C59" s="14">
        <v>0.243</v>
      </c>
      <c r="D59" s="15">
        <f t="shared" si="3"/>
        <v>2430</v>
      </c>
      <c r="K59" s="14">
        <v>0.0762</v>
      </c>
      <c r="L59" s="15">
        <f t="shared" si="2"/>
        <v>0.0381</v>
      </c>
    </row>
    <row r="60">
      <c r="C60" s="14">
        <v>0.243</v>
      </c>
      <c r="D60" s="15">
        <f t="shared" si="3"/>
        <v>2430</v>
      </c>
      <c r="K60" s="14">
        <v>0.0762</v>
      </c>
      <c r="L60" s="15">
        <f t="shared" si="2"/>
        <v>0.0381</v>
      </c>
    </row>
    <row r="61">
      <c r="C61" s="14">
        <v>0.243</v>
      </c>
      <c r="D61" s="15">
        <f t="shared" si="3"/>
        <v>2430</v>
      </c>
      <c r="K61" s="14">
        <v>0.0762</v>
      </c>
      <c r="L61" s="15">
        <f t="shared" si="2"/>
        <v>0.0381</v>
      </c>
    </row>
    <row r="62">
      <c r="C62" s="14">
        <v>0.243</v>
      </c>
      <c r="D62" s="15">
        <f t="shared" si="3"/>
        <v>2430</v>
      </c>
      <c r="K62" s="14">
        <v>0.0762</v>
      </c>
      <c r="L62" s="15">
        <f t="shared" si="2"/>
        <v>0.0381</v>
      </c>
    </row>
    <row r="63">
      <c r="A63" s="1"/>
      <c r="C63" s="14">
        <v>0.243</v>
      </c>
      <c r="D63" s="15">
        <f t="shared" si="3"/>
        <v>2430</v>
      </c>
      <c r="K63" s="14">
        <v>0.0762</v>
      </c>
      <c r="L63" s="15">
        <f t="shared" si="2"/>
        <v>0.0381</v>
      </c>
    </row>
    <row r="64">
      <c r="C64" s="14">
        <v>0.243</v>
      </c>
      <c r="D64" s="15">
        <f t="shared" si="3"/>
        <v>2430</v>
      </c>
      <c r="K64" s="14">
        <v>0.0762</v>
      </c>
      <c r="L64" s="15">
        <f t="shared" si="2"/>
        <v>0.0381</v>
      </c>
    </row>
    <row r="65">
      <c r="C65" s="14">
        <v>0.243</v>
      </c>
      <c r="D65" s="15">
        <f t="shared" si="3"/>
        <v>2430</v>
      </c>
      <c r="K65" s="14">
        <v>0.0762</v>
      </c>
      <c r="L65" s="15">
        <f t="shared" si="2"/>
        <v>0.0381</v>
      </c>
    </row>
    <row r="66">
      <c r="C66" s="14">
        <v>0.243</v>
      </c>
      <c r="D66" s="15">
        <f t="shared" si="3"/>
        <v>2430</v>
      </c>
    </row>
    <row r="67">
      <c r="C67" s="14">
        <v>0.243</v>
      </c>
      <c r="D67" s="15">
        <f t="shared" si="3"/>
        <v>2430</v>
      </c>
    </row>
    <row r="68">
      <c r="A68" s="1"/>
      <c r="C68" s="14">
        <v>0.243</v>
      </c>
      <c r="D68" s="15">
        <f t="shared" si="3"/>
        <v>2430</v>
      </c>
    </row>
    <row r="69">
      <c r="C69" s="14">
        <v>0.243</v>
      </c>
      <c r="D69" s="15">
        <f t="shared" si="3"/>
        <v>2430</v>
      </c>
    </row>
    <row r="73">
      <c r="A73" s="1"/>
    </row>
    <row r="78">
      <c r="A78" s="1"/>
    </row>
    <row r="83">
      <c r="A83" s="1"/>
    </row>
    <row r="88">
      <c r="A88" s="1"/>
    </row>
    <row r="93">
      <c r="A93" s="1"/>
    </row>
    <row r="98">
      <c r="A98" s="1"/>
    </row>
    <row r="103">
      <c r="A103" s="1"/>
    </row>
    <row r="108">
      <c r="A108" s="1"/>
    </row>
    <row r="113">
      <c r="A113" s="1"/>
    </row>
    <row r="118">
      <c r="A118" s="1"/>
    </row>
    <row r="123">
      <c r="A123" s="1"/>
    </row>
    <row r="128">
      <c r="A128" s="1"/>
    </row>
    <row r="133">
      <c r="A133" s="1"/>
    </row>
    <row r="138">
      <c r="A138" s="1"/>
    </row>
    <row r="143">
      <c r="A143" s="1"/>
    </row>
    <row r="148">
      <c r="A148" s="1"/>
    </row>
    <row r="153">
      <c r="A153" s="1"/>
    </row>
    <row r="158">
      <c r="A158" s="1"/>
    </row>
    <row r="163">
      <c r="A163" s="1"/>
    </row>
    <row r="168">
      <c r="A168" s="1"/>
    </row>
    <row r="173">
      <c r="A173" s="1"/>
    </row>
    <row r="178">
      <c r="A178" s="1"/>
    </row>
    <row r="183">
      <c r="A183" s="1"/>
    </row>
    <row r="188">
      <c r="A188" s="1"/>
    </row>
    <row r="193">
      <c r="A193" s="1"/>
    </row>
    <row r="198">
      <c r="A198" s="1"/>
    </row>
    <row r="203">
      <c r="A203" s="1"/>
    </row>
    <row r="205">
      <c r="C205" s="16"/>
    </row>
    <row r="206">
      <c r="C206" s="16"/>
    </row>
    <row r="207">
      <c r="C207" s="5">
        <v>28670.0</v>
      </c>
    </row>
    <row r="208">
      <c r="C208" s="5">
        <v>30501.0</v>
      </c>
    </row>
    <row r="209">
      <c r="C209" s="5">
        <v>30503.0</v>
      </c>
    </row>
    <row r="210">
      <c r="C210" s="5">
        <v>30507.0</v>
      </c>
    </row>
    <row r="211">
      <c r="C211" s="5">
        <v>30511.0</v>
      </c>
    </row>
    <row r="212">
      <c r="C212" s="5">
        <v>30517.0</v>
      </c>
    </row>
    <row r="213">
      <c r="C213" s="5">
        <v>30525.0</v>
      </c>
    </row>
    <row r="214">
      <c r="C214" s="5">
        <v>30533.0</v>
      </c>
    </row>
    <row r="215" ht="11.25" customHeight="1">
      <c r="C215" s="5">
        <v>30544.0</v>
      </c>
    </row>
    <row r="216">
      <c r="C216" s="5">
        <v>30555.0</v>
      </c>
    </row>
    <row r="217">
      <c r="C217" s="5">
        <v>30557.0</v>
      </c>
    </row>
    <row r="218">
      <c r="C218" s="5">
        <v>30509.0</v>
      </c>
    </row>
    <row r="219">
      <c r="C219" s="5">
        <v>30212.0</v>
      </c>
    </row>
    <row r="220">
      <c r="C220" s="5">
        <v>29861.0</v>
      </c>
    </row>
    <row r="221">
      <c r="C221" s="5">
        <v>30613.0</v>
      </c>
    </row>
    <row r="222">
      <c r="C222" s="5">
        <v>31796.0</v>
      </c>
    </row>
    <row r="223">
      <c r="C223" s="5">
        <v>33412.0</v>
      </c>
    </row>
    <row r="224">
      <c r="C224" s="5">
        <v>34724.0</v>
      </c>
    </row>
    <row r="225">
      <c r="C225" s="5">
        <v>35649.0</v>
      </c>
    </row>
    <row r="226">
      <c r="C226" s="5">
        <v>36323.0</v>
      </c>
    </row>
    <row r="227">
      <c r="C227" s="5">
        <v>36838.0</v>
      </c>
    </row>
    <row r="228">
      <c r="C228" s="5">
        <v>37202.0</v>
      </c>
    </row>
    <row r="229">
      <c r="C229" s="5">
        <v>37463.0</v>
      </c>
    </row>
    <row r="230">
      <c r="C230" s="5">
        <v>37707.0</v>
      </c>
    </row>
    <row r="231">
      <c r="C231" s="5">
        <v>37946.0</v>
      </c>
    </row>
    <row r="232">
      <c r="C232" s="5">
        <v>38183.0</v>
      </c>
    </row>
    <row r="233">
      <c r="C233" s="5">
        <v>38415.0</v>
      </c>
    </row>
    <row r="234">
      <c r="C234" s="5">
        <v>38644.0</v>
      </c>
    </row>
    <row r="235">
      <c r="C235" s="5">
        <v>38870.0</v>
      </c>
    </row>
    <row r="236">
      <c r="C236" s="5">
        <v>39093.0</v>
      </c>
    </row>
    <row r="237">
      <c r="C237" s="5">
        <v>39313.0</v>
      </c>
    </row>
    <row r="238">
      <c r="C238" s="5">
        <v>39529.0</v>
      </c>
    </row>
    <row r="239">
      <c r="C239" s="5">
        <v>39743.0</v>
      </c>
    </row>
    <row r="240">
      <c r="C240" s="5">
        <v>39953.0</v>
      </c>
    </row>
    <row r="241">
      <c r="C241" s="5">
        <v>40161.0</v>
      </c>
    </row>
    <row r="242">
      <c r="C242" s="5">
        <v>40366.0</v>
      </c>
    </row>
    <row r="243">
      <c r="C243" s="5">
        <v>40569.0</v>
      </c>
    </row>
    <row r="244">
      <c r="C244" s="5">
        <v>40769.0</v>
      </c>
    </row>
    <row r="245">
      <c r="C245" s="5">
        <v>40966.0</v>
      </c>
    </row>
    <row r="246">
      <c r="C246" s="5">
        <v>41161.0</v>
      </c>
    </row>
    <row r="247">
      <c r="C247" s="5">
        <v>41354.0</v>
      </c>
    </row>
    <row r="248">
      <c r="C248" s="5">
        <v>41544.0</v>
      </c>
    </row>
    <row r="249">
      <c r="C249" s="5">
        <v>41732.0</v>
      </c>
    </row>
    <row r="250">
      <c r="C250" s="5">
        <v>41917.0</v>
      </c>
    </row>
    <row r="251">
      <c r="C251" s="5">
        <v>42101.0</v>
      </c>
    </row>
  </sheetData>
  <mergeCells count="2">
    <mergeCell ref="B1:C1"/>
    <mergeCell ref="D1:E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4">
        <v>1.0</v>
      </c>
      <c r="C1" s="4">
        <v>2.0</v>
      </c>
      <c r="D1" s="4">
        <v>3.0</v>
      </c>
      <c r="E1" s="4">
        <v>4.0</v>
      </c>
      <c r="F1" s="4">
        <v>5.0</v>
      </c>
      <c r="G1" s="4">
        <v>6.0</v>
      </c>
      <c r="H1" s="4">
        <v>7.0</v>
      </c>
      <c r="I1" s="4">
        <v>8.0</v>
      </c>
      <c r="J1" s="4">
        <v>9.0</v>
      </c>
      <c r="K1" s="4">
        <v>10.0</v>
      </c>
      <c r="L1" s="4">
        <v>11.0</v>
      </c>
      <c r="M1" s="4">
        <v>12.0</v>
      </c>
      <c r="N1" s="4">
        <v>13.0</v>
      </c>
      <c r="O1" s="4">
        <v>14.0</v>
      </c>
      <c r="P1" s="4">
        <v>15.0</v>
      </c>
      <c r="Q1" s="4">
        <v>16.0</v>
      </c>
      <c r="R1" s="4">
        <v>17.0</v>
      </c>
      <c r="S1" s="4">
        <v>18.0</v>
      </c>
      <c r="T1" s="4">
        <v>19.0</v>
      </c>
      <c r="U1" s="4">
        <v>20.0</v>
      </c>
      <c r="V1" s="4">
        <v>21.0</v>
      </c>
      <c r="W1" s="4">
        <v>22.0</v>
      </c>
      <c r="X1" s="4">
        <v>23.0</v>
      </c>
      <c r="Y1" s="4">
        <v>24.0</v>
      </c>
      <c r="Z1" s="4">
        <v>25.0</v>
      </c>
      <c r="AA1" s="4">
        <v>26.0</v>
      </c>
      <c r="AB1" s="4">
        <v>27.0</v>
      </c>
      <c r="AC1" s="4">
        <v>28.0</v>
      </c>
      <c r="AD1" s="4">
        <v>29.0</v>
      </c>
      <c r="AE1" s="4">
        <v>30.0</v>
      </c>
      <c r="AF1" s="4">
        <v>31.0</v>
      </c>
      <c r="AG1" s="4">
        <v>32.0</v>
      </c>
      <c r="AH1" s="4">
        <v>33.0</v>
      </c>
      <c r="AI1" s="4">
        <v>34.0</v>
      </c>
      <c r="AJ1" s="4">
        <v>35.0</v>
      </c>
      <c r="AK1" s="4">
        <v>36.0</v>
      </c>
      <c r="AL1" s="4">
        <v>37.0</v>
      </c>
      <c r="AM1" s="4">
        <v>38.0</v>
      </c>
      <c r="AN1" s="4">
        <v>39.0</v>
      </c>
      <c r="AO1" s="4">
        <v>40.0</v>
      </c>
      <c r="AP1" s="4">
        <v>41.0</v>
      </c>
      <c r="AQ1" s="4">
        <v>42.0</v>
      </c>
      <c r="AR1" s="4">
        <v>43.0</v>
      </c>
      <c r="AS1" s="4">
        <v>44.0</v>
      </c>
      <c r="AT1" s="4">
        <v>45.0</v>
      </c>
    </row>
    <row r="2">
      <c r="A2" s="1" t="s">
        <v>3</v>
      </c>
      <c r="B2" s="17">
        <v>0.179578359156718</v>
      </c>
      <c r="C2" s="17">
        <v>0.175497032812247</v>
      </c>
      <c r="D2" s="17">
        <v>0.171415706467777</v>
      </c>
      <c r="E2" s="17">
        <v>0.167334380123306</v>
      </c>
      <c r="F2" s="17">
        <v>0.163253053778835</v>
      </c>
      <c r="G2" s="17">
        <v>0.159171727434364</v>
      </c>
      <c r="H2" s="17">
        <v>0.155090401089893</v>
      </c>
      <c r="I2" s="17">
        <v>0.151009074745422</v>
      </c>
      <c r="J2" s="17">
        <v>0.146927748400951</v>
      </c>
      <c r="K2" s="17">
        <v>0.14284642205648</v>
      </c>
      <c r="L2" s="17">
        <v>0.13876509571201</v>
      </c>
      <c r="M2" s="17">
        <v>0.134683769367539</v>
      </c>
      <c r="N2" s="17">
        <v>0.130602443023068</v>
      </c>
      <c r="O2" s="17">
        <v>0.126521116678597</v>
      </c>
      <c r="P2" s="17">
        <v>0.122439790334126</v>
      </c>
      <c r="Q2" s="17">
        <v>0.118358463989655</v>
      </c>
      <c r="R2" s="17">
        <v>0.114277137645184</v>
      </c>
      <c r="S2" s="17">
        <v>0.110195811300714</v>
      </c>
      <c r="T2" s="17">
        <v>0.106114484956243</v>
      </c>
      <c r="U2" s="17">
        <v>0.102033158611772</v>
      </c>
      <c r="V2" s="17">
        <v>0.097951832267301</v>
      </c>
      <c r="W2" s="17">
        <v>0.09387050592283</v>
      </c>
      <c r="X2" s="17">
        <v>0.089789179578359</v>
      </c>
      <c r="Y2" s="17">
        <v>0.085707853233888</v>
      </c>
      <c r="Z2" s="17">
        <v>0.081626526889417</v>
      </c>
      <c r="AA2" s="17">
        <v>0.077545200544947</v>
      </c>
      <c r="AB2" s="17">
        <v>0.073463874200476</v>
      </c>
      <c r="AC2" s="17">
        <v>0.069382547856005</v>
      </c>
      <c r="AD2" s="17">
        <v>0.065301221511534</v>
      </c>
      <c r="AE2" s="17">
        <v>0.061219895167063</v>
      </c>
      <c r="AF2" s="17">
        <v>0.057138568822592</v>
      </c>
      <c r="AG2" s="17">
        <v>0.053057242478121</v>
      </c>
      <c r="AH2" s="17">
        <v>0.04897591613365</v>
      </c>
      <c r="AI2" s="17">
        <v>0.04489458978918</v>
      </c>
      <c r="AJ2" s="17">
        <v>0.040813263444709</v>
      </c>
      <c r="AK2" s="17">
        <v>0.036731937100238</v>
      </c>
      <c r="AL2" s="17">
        <v>0.032650610755767</v>
      </c>
      <c r="AM2" s="17">
        <v>0.028569284411296</v>
      </c>
      <c r="AN2" s="17">
        <v>0.024487958066825</v>
      </c>
      <c r="AO2" s="17">
        <v>0.020406631722354</v>
      </c>
      <c r="AP2" s="17">
        <v>0.016325305377883</v>
      </c>
      <c r="AQ2" s="17">
        <v>0.012243979033413</v>
      </c>
      <c r="AR2" s="17">
        <v>0.008162652688942</v>
      </c>
      <c r="AS2" s="17">
        <v>0.004081326344471</v>
      </c>
      <c r="AT2" s="17">
        <v>0.0</v>
      </c>
    </row>
    <row r="3">
      <c r="A3" s="1" t="s">
        <v>22</v>
      </c>
      <c r="B3" s="1">
        <v>0.0250832962272725</v>
      </c>
      <c r="C3" s="1">
        <v>0.024003751869565</v>
      </c>
      <c r="D3" s="1">
        <v>0.0229242075</v>
      </c>
      <c r="E3" s="1">
        <v>0.0218315775</v>
      </c>
      <c r="F3" s="1">
        <v>0.020743214695652</v>
      </c>
      <c r="G3" s="1">
        <v>0.0196594033636365</v>
      </c>
      <c r="H3" s="1">
        <v>0.0186060295</v>
      </c>
      <c r="I3" s="1">
        <v>0.0174889357391305</v>
      </c>
      <c r="J3" s="1">
        <v>0.016401141909091</v>
      </c>
      <c r="K3" s="1">
        <v>0.0153412255</v>
      </c>
      <c r="L3" s="1">
        <v>0.0142659479565215</v>
      </c>
      <c r="M3" s="1">
        <v>0.0131428804545455</v>
      </c>
      <c r="N3" s="1">
        <v>0.012095239318182</v>
      </c>
      <c r="O3" s="1">
        <v>0.011963988818182</v>
      </c>
      <c r="P3" s="1">
        <v>0.0130637390434785</v>
      </c>
      <c r="Q3" s="1">
        <v>0.0154060835454545</v>
      </c>
      <c r="R3" s="1">
        <v>0.019083662409091</v>
      </c>
      <c r="S3" s="1">
        <v>0.023218467304348</v>
      </c>
      <c r="T3" s="1">
        <v>0.0273063732272725</v>
      </c>
      <c r="U3" s="1">
        <v>0.031338154</v>
      </c>
      <c r="V3" s="1">
        <v>0.0354546046086955</v>
      </c>
      <c r="W3" s="1">
        <v>0.0379225463636365</v>
      </c>
      <c r="X3" s="1">
        <v>0.0381</v>
      </c>
      <c r="Y3" s="1">
        <v>0.0381</v>
      </c>
      <c r="Z3" s="1">
        <v>0.0381</v>
      </c>
      <c r="AA3" s="1">
        <v>0.0381</v>
      </c>
      <c r="AB3" s="1">
        <v>0.0381</v>
      </c>
      <c r="AC3" s="1">
        <v>0.0381</v>
      </c>
      <c r="AD3" s="1">
        <v>0.0381</v>
      </c>
      <c r="AE3" s="1">
        <v>0.0381</v>
      </c>
      <c r="AF3" s="1">
        <v>0.0381</v>
      </c>
      <c r="AG3" s="1">
        <v>0.0381</v>
      </c>
      <c r="AH3" s="1">
        <v>0.0381</v>
      </c>
      <c r="AI3" s="1">
        <v>0.0381</v>
      </c>
      <c r="AJ3" s="1">
        <v>0.0381</v>
      </c>
      <c r="AK3" s="1">
        <v>0.0381</v>
      </c>
      <c r="AL3" s="1">
        <v>0.0381</v>
      </c>
      <c r="AM3" s="1">
        <v>0.0381</v>
      </c>
      <c r="AN3" s="1">
        <v>0.0381</v>
      </c>
      <c r="AO3" s="1">
        <v>0.0381</v>
      </c>
      <c r="AP3" s="1">
        <v>0.0381</v>
      </c>
      <c r="AQ3" s="1">
        <v>0.0381</v>
      </c>
      <c r="AR3" s="1">
        <v>0.0381</v>
      </c>
      <c r="AS3" s="1">
        <v>0.0381</v>
      </c>
      <c r="AT3" s="1">
        <v>0.0381</v>
      </c>
    </row>
    <row r="4">
      <c r="A4" s="1" t="s">
        <v>5</v>
      </c>
      <c r="B4" s="1">
        <v>7.62E-4</v>
      </c>
      <c r="C4" s="1">
        <v>7.62E-4</v>
      </c>
      <c r="D4" s="1">
        <v>7.62E-4</v>
      </c>
      <c r="E4" s="1">
        <v>7.62E-4</v>
      </c>
      <c r="F4" s="1">
        <v>7.62E-4</v>
      </c>
      <c r="G4" s="1">
        <v>7.62E-4</v>
      </c>
      <c r="H4" s="1">
        <v>7.62E-4</v>
      </c>
      <c r="I4" s="1">
        <v>7.62E-4</v>
      </c>
      <c r="J4" s="1">
        <v>7.62E-4</v>
      </c>
      <c r="K4" s="1">
        <v>7.62E-4</v>
      </c>
      <c r="L4" s="1">
        <v>7.62E-4</v>
      </c>
      <c r="M4" s="1">
        <v>7.62E-4</v>
      </c>
      <c r="N4" s="1">
        <v>7.62E-4</v>
      </c>
      <c r="O4" s="1">
        <v>7.62E-4</v>
      </c>
      <c r="P4" s="1">
        <v>7.62E-4</v>
      </c>
      <c r="Q4" s="1">
        <v>7.62E-4</v>
      </c>
      <c r="R4" s="1">
        <v>7.62E-4</v>
      </c>
      <c r="S4" s="1">
        <v>7.62E-4</v>
      </c>
      <c r="T4" s="1">
        <v>7.62E-4</v>
      </c>
      <c r="U4" s="1">
        <v>7.62E-4</v>
      </c>
      <c r="V4" s="1">
        <v>7.62E-4</v>
      </c>
      <c r="W4" s="1">
        <v>7.62E-4</v>
      </c>
      <c r="X4" s="1">
        <v>7.62E-4</v>
      </c>
      <c r="Y4" s="1">
        <v>7.62E-4</v>
      </c>
      <c r="Z4" s="1">
        <v>7.62E-4</v>
      </c>
      <c r="AA4" s="1">
        <v>7.62E-4</v>
      </c>
      <c r="AB4" s="1">
        <v>7.62E-4</v>
      </c>
      <c r="AC4" s="1">
        <v>7.62E-4</v>
      </c>
      <c r="AD4" s="1">
        <v>7.62E-4</v>
      </c>
      <c r="AE4" s="1">
        <v>7.62E-4</v>
      </c>
      <c r="AF4" s="1">
        <v>7.62E-4</v>
      </c>
      <c r="AG4" s="1">
        <v>7.62E-4</v>
      </c>
      <c r="AH4" s="1">
        <v>7.62E-4</v>
      </c>
      <c r="AI4" s="1">
        <v>7.62E-4</v>
      </c>
      <c r="AJ4" s="1">
        <v>7.62E-4</v>
      </c>
      <c r="AK4" s="1">
        <v>7.62E-4</v>
      </c>
      <c r="AL4" s="1">
        <v>7.62E-4</v>
      </c>
      <c r="AM4" s="1">
        <v>7.62E-4</v>
      </c>
      <c r="AN4" s="1">
        <v>7.62E-4</v>
      </c>
      <c r="AO4" s="1">
        <v>7.62E-4</v>
      </c>
      <c r="AP4" s="1">
        <v>7.62E-4</v>
      </c>
      <c r="AQ4" s="1">
        <v>7.62E-4</v>
      </c>
      <c r="AR4" s="1">
        <v>7.62E-4</v>
      </c>
      <c r="AS4" s="1">
        <v>7.62E-4</v>
      </c>
      <c r="AT4" s="1">
        <v>7.62E-4</v>
      </c>
    </row>
    <row r="5">
      <c r="A5" s="14" t="s">
        <v>6</v>
      </c>
      <c r="B5" s="14" t="s">
        <v>7</v>
      </c>
      <c r="C5" s="14">
        <v>0.0031750063500127</v>
      </c>
      <c r="D5" s="14">
        <v>0.0031750063500127</v>
      </c>
      <c r="E5" s="14">
        <v>0.0031750063500127</v>
      </c>
      <c r="F5" s="14">
        <v>0.0031750063500127</v>
      </c>
      <c r="G5" s="14">
        <v>0.0031750063500127</v>
      </c>
      <c r="H5" s="14">
        <v>0.0031750063500127</v>
      </c>
      <c r="I5" s="14">
        <v>0.0031750063500127</v>
      </c>
      <c r="J5" s="14">
        <v>0.0031750063500127</v>
      </c>
      <c r="K5" s="14">
        <v>0.0031750063500127</v>
      </c>
      <c r="L5" s="14">
        <v>0.0031750063500127</v>
      </c>
      <c r="M5" s="14">
        <v>0.0031750063500127</v>
      </c>
      <c r="N5" s="14">
        <v>0.0031750063500127</v>
      </c>
      <c r="O5" s="14">
        <v>0.0031750063500127</v>
      </c>
      <c r="P5" s="14">
        <v>0.00149578076933932</v>
      </c>
      <c r="Q5" s="14">
        <v>0.0031750063500127</v>
      </c>
      <c r="R5" s="14">
        <v>0.0031750063500127</v>
      </c>
      <c r="S5" s="14">
        <v>0.0031750063500127</v>
      </c>
      <c r="T5" s="14">
        <v>0.0031750063500127</v>
      </c>
      <c r="U5" s="14">
        <v>0.0031750063500127</v>
      </c>
      <c r="V5" s="14">
        <v>0.0031750063500127</v>
      </c>
      <c r="W5" s="14">
        <v>0.0031750063500127</v>
      </c>
      <c r="X5" s="14">
        <v>0.0031750063500127</v>
      </c>
      <c r="Y5" s="14">
        <v>0.0031750063500127</v>
      </c>
      <c r="Z5" s="14">
        <v>0.0031750063500127</v>
      </c>
      <c r="AA5" s="14">
        <v>0.0031750063500127</v>
      </c>
      <c r="AB5" s="14">
        <v>0.0031750063500127</v>
      </c>
      <c r="AC5" s="14">
        <v>0.0031750063500127</v>
      </c>
      <c r="AD5" s="14">
        <v>0.0031750063500127</v>
      </c>
      <c r="AE5" s="14">
        <v>0.0031750063500127</v>
      </c>
      <c r="AF5" s="14">
        <v>0.0031750063500127</v>
      </c>
      <c r="AG5" s="14">
        <v>0.0031750063500127</v>
      </c>
      <c r="AH5" s="14">
        <v>0.0031750063500127</v>
      </c>
      <c r="AI5" s="14">
        <v>0.0031750063500127</v>
      </c>
      <c r="AJ5" s="14">
        <v>0.0031750063500127</v>
      </c>
      <c r="AK5" s="14">
        <v>0.0031750063500127</v>
      </c>
      <c r="AL5" s="14">
        <v>0.0031750063500127</v>
      </c>
      <c r="AM5" s="14">
        <v>0.0031750063500127</v>
      </c>
      <c r="AN5" s="14">
        <v>0.0031750063500127</v>
      </c>
      <c r="AO5" s="14">
        <v>0.0031750063500127</v>
      </c>
      <c r="AP5" s="14">
        <v>0.0031750063500127</v>
      </c>
      <c r="AQ5" s="14">
        <v>0.0031750063500127</v>
      </c>
      <c r="AR5" s="14">
        <v>0.0031750063500127</v>
      </c>
      <c r="AS5" s="14">
        <v>0.0031750063500127</v>
      </c>
      <c r="AT5" s="14">
        <v>0.0031750063500127</v>
      </c>
    </row>
    <row r="6">
      <c r="A6" s="14" t="s">
        <v>7</v>
      </c>
      <c r="B6" s="14">
        <v>0.0031750063500127</v>
      </c>
      <c r="C6" s="14">
        <v>0.003055061665678887</v>
      </c>
      <c r="D6" s="14">
        <v>0.0029351169813450744</v>
      </c>
      <c r="E6" s="14">
        <v>0.0028151722970112614</v>
      </c>
      <c r="F6" s="14">
        <v>0.0026952276126774484</v>
      </c>
      <c r="G6" s="14">
        <v>0.002575282928343636</v>
      </c>
      <c r="H6" s="14">
        <v>0.002455338244009823</v>
      </c>
      <c r="I6" s="14">
        <v>0.0023353935596760102</v>
      </c>
      <c r="J6" s="14">
        <v>0.0022154488753421972</v>
      </c>
      <c r="K6" s="14">
        <v>0.0020955041910083842</v>
      </c>
      <c r="L6" s="14">
        <v>0.0019755595066745712</v>
      </c>
      <c r="M6" s="14">
        <v>0.0018556148223407586</v>
      </c>
      <c r="N6" s="14">
        <v>0.0017356701380069456</v>
      </c>
      <c r="O6" s="14">
        <v>0.00149578076933932</v>
      </c>
      <c r="P6" s="14">
        <v>0.00149578076933932</v>
      </c>
      <c r="Q6" s="14">
        <v>0.0017056839669234926</v>
      </c>
      <c r="R6" s="14">
        <v>0.0019155871645076651</v>
      </c>
      <c r="S6" s="14">
        <v>0.0021254903620918373</v>
      </c>
      <c r="T6" s="14">
        <v>0.0023353935596760102</v>
      </c>
      <c r="U6" s="14">
        <v>0.0025452967572601824</v>
      </c>
      <c r="V6" s="14">
        <v>0.002755199954844355</v>
      </c>
      <c r="W6" s="14">
        <v>0.0029651031524285274</v>
      </c>
      <c r="X6" s="14">
        <v>0.0031750063500127</v>
      </c>
      <c r="Y6" s="14">
        <v>0.0031750063500127</v>
      </c>
      <c r="Z6" s="14">
        <v>0.0031750063500127</v>
      </c>
      <c r="AA6" s="14">
        <v>0.0031750063500127</v>
      </c>
      <c r="AB6" s="14">
        <v>0.0031750063500127</v>
      </c>
      <c r="AC6" s="14">
        <v>0.0031750063500127</v>
      </c>
      <c r="AD6" s="14">
        <v>0.0031750063500127</v>
      </c>
      <c r="AE6" s="14">
        <v>0.0031750063500127</v>
      </c>
      <c r="AF6" s="14">
        <v>0.0031750063500127</v>
      </c>
      <c r="AG6" s="14">
        <v>0.0031750063500127</v>
      </c>
      <c r="AH6" s="14">
        <v>0.0031750063500127</v>
      </c>
      <c r="AI6" s="14">
        <v>0.0031750063500127</v>
      </c>
      <c r="AJ6" s="14">
        <v>0.0031750063500127</v>
      </c>
      <c r="AK6" s="14">
        <v>0.0031750063500127</v>
      </c>
      <c r="AL6" s="14">
        <v>0.0031750063500127</v>
      </c>
      <c r="AM6" s="14">
        <v>0.0031750063500127</v>
      </c>
      <c r="AN6" s="14">
        <v>0.0031750063500127</v>
      </c>
      <c r="AO6" s="14">
        <v>0.0031750063500127</v>
      </c>
      <c r="AP6" s="14">
        <v>0.0031750063500127</v>
      </c>
      <c r="AQ6" s="14">
        <v>0.0031750063500127</v>
      </c>
      <c r="AR6" s="14">
        <v>0.0031750063500127</v>
      </c>
      <c r="AS6" s="14">
        <v>0.0031750063500127</v>
      </c>
      <c r="AT6" s="14">
        <v>0.0031750063500127</v>
      </c>
    </row>
    <row r="7">
      <c r="A7" s="14" t="s">
        <v>8</v>
      </c>
      <c r="B7" s="14">
        <v>0.00101600203200406</v>
      </c>
      <c r="C7" s="14">
        <v>0.00101600203200406</v>
      </c>
      <c r="D7" s="14">
        <v>0.00101600203200406</v>
      </c>
      <c r="E7" s="14">
        <v>0.00101600203200406</v>
      </c>
      <c r="F7" s="14">
        <v>0.00101600203200406</v>
      </c>
      <c r="G7" s="14">
        <v>0.00101600203200406</v>
      </c>
      <c r="H7" s="14">
        <v>0.00101600203200406</v>
      </c>
      <c r="I7" s="14">
        <v>0.00101600203200406</v>
      </c>
      <c r="J7" s="14">
        <v>0.00101600203200406</v>
      </c>
      <c r="K7" s="14">
        <v>0.00101600203200406</v>
      </c>
      <c r="L7" s="14">
        <v>0.00101600203200406</v>
      </c>
      <c r="M7" s="14">
        <v>0.00101600203200406</v>
      </c>
      <c r="N7" s="14">
        <v>0.00101600203200406</v>
      </c>
      <c r="O7" s="14">
        <v>0.00101600203200406</v>
      </c>
      <c r="P7" s="14">
        <v>0.00101600203200406</v>
      </c>
      <c r="Q7" s="14">
        <v>0.00101600203200406</v>
      </c>
      <c r="R7" s="14">
        <v>0.00101600203200406</v>
      </c>
      <c r="S7" s="14">
        <v>0.00101600203200406</v>
      </c>
      <c r="T7" s="14">
        <v>0.00101600203200406</v>
      </c>
      <c r="U7" s="14">
        <v>0.00101600203200406</v>
      </c>
      <c r="V7" s="14">
        <v>0.00101600203200406</v>
      </c>
      <c r="W7" s="14">
        <v>0.00101600203200406</v>
      </c>
      <c r="X7" s="14">
        <v>0.00101600203200406</v>
      </c>
      <c r="Y7" s="14">
        <v>0.00101600203200406</v>
      </c>
      <c r="Z7" s="14">
        <v>0.00101600203200406</v>
      </c>
      <c r="AA7" s="14">
        <v>0.00101600203200406</v>
      </c>
      <c r="AB7" s="14">
        <v>0.00101600203200406</v>
      </c>
      <c r="AC7" s="14">
        <v>0.00101600203200406</v>
      </c>
      <c r="AD7" s="14">
        <v>0.00101600203200406</v>
      </c>
      <c r="AE7" s="14">
        <v>0.00101600203200406</v>
      </c>
      <c r="AF7" s="14">
        <v>0.00101600203200406</v>
      </c>
      <c r="AG7" s="14">
        <v>0.00101600203200406</v>
      </c>
      <c r="AH7" s="14">
        <v>0.00101600203200406</v>
      </c>
      <c r="AI7" s="14">
        <v>0.00101600203200406</v>
      </c>
      <c r="AJ7" s="14">
        <v>0.00101600203200406</v>
      </c>
      <c r="AK7" s="14">
        <v>0.00101600203200406</v>
      </c>
      <c r="AL7" s="14">
        <v>0.00101600203200406</v>
      </c>
      <c r="AM7" s="14">
        <v>0.00101600203200406</v>
      </c>
      <c r="AN7" s="14">
        <v>0.00101600203200406</v>
      </c>
      <c r="AO7" s="14">
        <v>0.00101600203200406</v>
      </c>
      <c r="AP7" s="14">
        <v>0.00101600203200406</v>
      </c>
      <c r="AQ7" s="14">
        <v>0.00101600203200406</v>
      </c>
      <c r="AR7" s="14">
        <v>0.00101600203200406</v>
      </c>
      <c r="AS7" s="14">
        <v>0.00101600203200406</v>
      </c>
      <c r="AT7" s="14">
        <v>0.00101600203200406</v>
      </c>
    </row>
    <row r="8">
      <c r="A8" s="14" t="s">
        <v>9</v>
      </c>
      <c r="B8" s="14">
        <v>298.019923329623</v>
      </c>
      <c r="C8" s="14">
        <v>298.048123529624</v>
      </c>
      <c r="D8" s="14">
        <v>298.088584729505</v>
      </c>
      <c r="E8" s="14">
        <v>298.14708596825</v>
      </c>
      <c r="F8" s="14">
        <v>298.23208785119</v>
      </c>
      <c r="G8" s="14">
        <v>298.356593437535</v>
      </c>
      <c r="H8" s="14">
        <v>298.539334401192</v>
      </c>
      <c r="I8" s="14">
        <v>298.818867722203</v>
      </c>
      <c r="J8" s="14">
        <v>299.251164005855</v>
      </c>
      <c r="K8" s="14">
        <v>299.932033135166</v>
      </c>
      <c r="L8" s="14">
        <v>301.057556059876</v>
      </c>
      <c r="M8" s="14">
        <v>303.105821686181</v>
      </c>
      <c r="N8" s="14">
        <v>307.608889198363</v>
      </c>
      <c r="O8" s="14">
        <v>315.962932779801</v>
      </c>
      <c r="P8" s="14">
        <v>322.238480864305</v>
      </c>
      <c r="Q8" s="14">
        <v>330.909394650012</v>
      </c>
      <c r="R8" s="14">
        <v>337.482854895817</v>
      </c>
      <c r="S8" s="14">
        <v>342.359989664389</v>
      </c>
      <c r="T8" s="14">
        <v>346.113574412787</v>
      </c>
      <c r="U8" s="14">
        <v>349.099682548808</v>
      </c>
      <c r="V8" s="14">
        <v>351.52469351568</v>
      </c>
      <c r="W8" s="14">
        <v>353.684980336888</v>
      </c>
      <c r="X8" s="14">
        <v>355.818236093082</v>
      </c>
      <c r="Y8" s="14">
        <v>357.941313545046</v>
      </c>
      <c r="Z8" s="14">
        <v>360.054351384141</v>
      </c>
      <c r="AA8" s="14">
        <v>362.157485005079</v>
      </c>
      <c r="AB8" s="14">
        <v>364.25084718075</v>
      </c>
      <c r="AC8" s="14">
        <v>366.334568198784</v>
      </c>
      <c r="AD8" s="14">
        <v>368.408775928357</v>
      </c>
      <c r="AE8" s="14">
        <v>370.473595871472</v>
      </c>
      <c r="AF8" s="14">
        <v>372.529151208907</v>
      </c>
      <c r="AG8" s="14">
        <v>374.575562843808</v>
      </c>
      <c r="AH8" s="14">
        <v>376.612949444025</v>
      </c>
      <c r="AI8" s="14">
        <v>378.641427483644</v>
      </c>
      <c r="AJ8" s="14">
        <v>380.661111283918</v>
      </c>
      <c r="AK8" s="14">
        <v>382.672113053667</v>
      </c>
      <c r="AL8" s="14">
        <v>384.6745429292</v>
      </c>
      <c r="AM8" s="14">
        <v>386.668509013739</v>
      </c>
      <c r="AN8" s="14">
        <v>388.654117416366</v>
      </c>
      <c r="AO8" s="14">
        <v>390.631472290455</v>
      </c>
      <c r="AP8" s="14">
        <v>392.600675871589</v>
      </c>
      <c r="AQ8" s="14">
        <v>394.561828514937</v>
      </c>
      <c r="AR8" s="14">
        <v>396.515028732079</v>
      </c>
      <c r="AS8" s="14">
        <v>398.460373227265</v>
      </c>
      <c r="AT8" s="14">
        <v>400.397956933096</v>
      </c>
    </row>
    <row r="9">
      <c r="A9" s="14" t="s">
        <v>10</v>
      </c>
      <c r="B9" s="14">
        <v>5511336.68299553</v>
      </c>
      <c r="C9" s="14">
        <v>5506012.74501205</v>
      </c>
      <c r="D9" s="14">
        <v>5500689.4891008</v>
      </c>
      <c r="E9" s="14">
        <v>5495367.18017126</v>
      </c>
      <c r="F9" s="14">
        <v>5490046.20723858</v>
      </c>
      <c r="G9" s="14">
        <v>5484727.14015274</v>
      </c>
      <c r="H9" s="14">
        <v>5479410.82494367</v>
      </c>
      <c r="I9" s="14">
        <v>5474098.50131297</v>
      </c>
      <c r="J9" s="14">
        <v>5468792.21351691</v>
      </c>
      <c r="K9" s="14">
        <v>5463495.14517672</v>
      </c>
      <c r="L9" s="14">
        <v>5458212.37219376</v>
      </c>
      <c r="M9" s="14">
        <v>5452952.70058397</v>
      </c>
      <c r="N9" s="14">
        <v>5447733.52375804</v>
      </c>
      <c r="O9" s="14">
        <v>5442597.01180872</v>
      </c>
      <c r="P9" s="14">
        <v>5419737.16777257</v>
      </c>
      <c r="Q9" s="14">
        <v>5414819.79037483</v>
      </c>
      <c r="R9" s="14">
        <v>5410003.79096231</v>
      </c>
      <c r="S9" s="14">
        <v>5405253.53742932</v>
      </c>
      <c r="T9" s="14">
        <v>5400546.71642863</v>
      </c>
      <c r="U9" s="14">
        <v>5395870.53133523</v>
      </c>
      <c r="V9" s="14">
        <v>5391217.11460535</v>
      </c>
      <c r="W9" s="14">
        <v>5386581.20391246</v>
      </c>
      <c r="X9" s="14">
        <v>5381960.17881127</v>
      </c>
      <c r="Y9" s="14">
        <v>5377353.22112802</v>
      </c>
      <c r="Z9" s="14">
        <v>5372759.66394377</v>
      </c>
      <c r="AA9" s="14">
        <v>5368178.87198526</v>
      </c>
      <c r="AB9" s="14">
        <v>5363610.23963249</v>
      </c>
      <c r="AC9" s="14">
        <v>5359053.18908064</v>
      </c>
      <c r="AD9" s="14">
        <v>5354507.16863907</v>
      </c>
      <c r="AE9" s="14">
        <v>5349971.6511549</v>
      </c>
      <c r="AF9" s="14">
        <v>5345446.13255043</v>
      </c>
      <c r="AG9" s="14">
        <v>5340930.13046444</v>
      </c>
      <c r="AH9" s="14">
        <v>5336423.18298873</v>
      </c>
      <c r="AI9" s="14">
        <v>5331924.84749202</v>
      </c>
      <c r="AJ9" s="14">
        <v>5327434.69952407</v>
      </c>
      <c r="AK9" s="14">
        <v>5322952.33179348</v>
      </c>
      <c r="AL9" s="14">
        <v>5318477.35321337</v>
      </c>
      <c r="AM9" s="14">
        <v>5314009.38800963</v>
      </c>
      <c r="AN9" s="14">
        <v>5309548.0748869</v>
      </c>
      <c r="AO9" s="14">
        <v>5305093.06624778</v>
      </c>
      <c r="AP9" s="14">
        <v>5300644.02746145</v>
      </c>
      <c r="AQ9" s="14">
        <v>5296200.6361777</v>
      </c>
      <c r="AR9" s="14">
        <v>5291762.58168345</v>
      </c>
      <c r="AS9" s="14">
        <v>5287329.56429824</v>
      </c>
      <c r="AT9" s="14">
        <v>5282901.29480626</v>
      </c>
    </row>
    <row r="10">
      <c r="A10" s="14" t="s">
        <v>11</v>
      </c>
      <c r="B10" s="14">
        <v>8.41975626284657</v>
      </c>
      <c r="C10" s="14">
        <v>8.41995387940992</v>
      </c>
      <c r="D10" s="14">
        <v>8.4202235441285</v>
      </c>
      <c r="E10" s="14">
        <v>8.4205922203704</v>
      </c>
      <c r="F10" s="14">
        <v>8.42110659677536</v>
      </c>
      <c r="G10" s="14">
        <v>8.42183504844521</v>
      </c>
      <c r="H10" s="14">
        <v>8.42288270396183</v>
      </c>
      <c r="I10" s="14">
        <v>8.42440111106134</v>
      </c>
      <c r="J10" s="14">
        <v>8.42670234703852</v>
      </c>
      <c r="K10" s="14">
        <v>8.43024014292216</v>
      </c>
      <c r="L10" s="14">
        <v>8.43579265485596</v>
      </c>
      <c r="M10" s="14">
        <v>8.44495619354923</v>
      </c>
      <c r="N10" s="14">
        <v>8.46163733953289</v>
      </c>
      <c r="O10" s="14">
        <v>8.49844335890937</v>
      </c>
      <c r="P10" s="14">
        <v>18.1855070193685</v>
      </c>
      <c r="Q10" s="14">
        <v>8.62001722086299</v>
      </c>
      <c r="R10" s="14">
        <v>8.69347654053901</v>
      </c>
      <c r="S10" s="14">
        <v>8.75000034935087</v>
      </c>
      <c r="T10" s="14">
        <v>8.79243993770911</v>
      </c>
      <c r="U10" s="14">
        <v>8.82541257791003</v>
      </c>
      <c r="V10" s="14">
        <v>8.85184648318096</v>
      </c>
      <c r="W10" s="14">
        <v>8.873452660658</v>
      </c>
      <c r="X10" s="14">
        <v>8.89280614091404</v>
      </c>
      <c r="Y10" s="14">
        <v>8.91201252410881</v>
      </c>
      <c r="Z10" s="14">
        <v>8.93122242616807</v>
      </c>
      <c r="AA10" s="14">
        <v>8.95043751533965</v>
      </c>
      <c r="AB10" s="14">
        <v>8.96965943367769</v>
      </c>
      <c r="AC10" s="14">
        <v>8.9888898036209</v>
      </c>
      <c r="AD10" s="14">
        <v>9.00813022974654</v>
      </c>
      <c r="AE10" s="14">
        <v>9.02738229987756</v>
      </c>
      <c r="AF10" s="14">
        <v>9.04664758602582</v>
      </c>
      <c r="AG10" s="14">
        <v>9.06592764526422</v>
      </c>
      <c r="AH10" s="14">
        <v>9.08522402056235</v>
      </c>
      <c r="AI10" s="14">
        <v>9.10453824158723</v>
      </c>
      <c r="AJ10" s="14">
        <v>9.12387182548034</v>
      </c>
      <c r="AK10" s="14">
        <v>9.1432262776131</v>
      </c>
      <c r="AL10" s="14">
        <v>9.16260309232261</v>
      </c>
      <c r="AM10" s="14">
        <v>9.18200375362945</v>
      </c>
      <c r="AN10" s="14">
        <v>9.20142973593857</v>
      </c>
      <c r="AO10" s="14">
        <v>9.22088250472449</v>
      </c>
      <c r="AP10" s="14">
        <v>9.24036351720151</v>
      </c>
      <c r="AQ10" s="14">
        <v>9.25987422298007</v>
      </c>
      <c r="AR10" s="14">
        <v>9.27941606470974</v>
      </c>
      <c r="AS10" s="14">
        <v>9.29899047870982</v>
      </c>
      <c r="AT10" s="14">
        <v>9.31859889558799</v>
      </c>
    </row>
    <row r="11">
      <c r="A11" s="14" t="s">
        <v>12</v>
      </c>
      <c r="B11" s="14">
        <v>21313.18479289</v>
      </c>
      <c r="C11" s="14">
        <v>30852.026607608</v>
      </c>
      <c r="D11" s="14">
        <v>44668.0951130917</v>
      </c>
      <c r="E11" s="14">
        <v>65240.2347164351</v>
      </c>
      <c r="F11" s="14">
        <v>95861.2295633073</v>
      </c>
      <c r="G11" s="14">
        <v>142174.327048946</v>
      </c>
      <c r="H11" s="14">
        <v>211540.631547172</v>
      </c>
      <c r="I11" s="14">
        <v>328937.827960181</v>
      </c>
      <c r="J11" s="14">
        <v>518129.320238202</v>
      </c>
      <c r="K11" s="14">
        <v>833159.584661516</v>
      </c>
      <c r="L11" s="14">
        <v>1411534.10004888</v>
      </c>
      <c r="M11" s="14">
        <v>2647600.55303113</v>
      </c>
      <c r="N11" s="14">
        <v>6012174.81465761</v>
      </c>
      <c r="O11" s="14">
        <v>1.12422788305267E7</v>
      </c>
      <c r="P11" s="14">
        <v>1.2734381001699E7</v>
      </c>
      <c r="Q11" s="14">
        <v>1.11112606000777E7</v>
      </c>
      <c r="R11" s="14">
        <v>8153325.12389819</v>
      </c>
      <c r="S11" s="14">
        <v>5896665.86739832</v>
      </c>
      <c r="T11" s="14">
        <v>4457540.01813545</v>
      </c>
      <c r="U11" s="14">
        <v>3499165.88612849</v>
      </c>
      <c r="V11" s="14">
        <v>2811041.92924398</v>
      </c>
      <c r="W11" s="14">
        <v>2495725.55025184</v>
      </c>
      <c r="X11" s="14">
        <v>2475030.51847271</v>
      </c>
      <c r="Y11" s="14">
        <v>2475030.51847271</v>
      </c>
      <c r="Z11" s="14">
        <v>2475030.51847271</v>
      </c>
      <c r="AA11" s="14">
        <v>2475030.51847271</v>
      </c>
      <c r="AB11" s="14">
        <v>2475030.51847271</v>
      </c>
      <c r="AC11" s="14">
        <v>2475030.51847271</v>
      </c>
      <c r="AD11" s="14">
        <v>2475030.51847271</v>
      </c>
      <c r="AE11" s="14">
        <v>2475030.51847271</v>
      </c>
      <c r="AF11" s="14">
        <v>2475030.51847271</v>
      </c>
      <c r="AG11" s="14">
        <v>2475030.51847271</v>
      </c>
      <c r="AH11" s="14">
        <v>2475030.51847271</v>
      </c>
      <c r="AI11" s="14">
        <v>2475030.51847271</v>
      </c>
      <c r="AJ11" s="14">
        <v>2475030.51847271</v>
      </c>
      <c r="AK11" s="14">
        <v>2475030.51847271</v>
      </c>
      <c r="AL11" s="14">
        <v>2475030.51847271</v>
      </c>
      <c r="AM11" s="14">
        <v>2475030.51847271</v>
      </c>
      <c r="AN11" s="14">
        <v>2475030.51847271</v>
      </c>
      <c r="AO11" s="14">
        <v>2475030.51847271</v>
      </c>
      <c r="AP11" s="14">
        <v>2475030.51847271</v>
      </c>
      <c r="AQ11" s="14">
        <v>2475030.51847271</v>
      </c>
      <c r="AR11" s="14">
        <v>2475030.51847271</v>
      </c>
      <c r="AS11" s="14">
        <v>2475030.51847271</v>
      </c>
      <c r="AT11" s="14">
        <v>2475030.51847271</v>
      </c>
    </row>
    <row r="12">
      <c r="A12" s="14" t="s">
        <v>13</v>
      </c>
      <c r="B12" s="14">
        <v>6728.90150706951</v>
      </c>
      <c r="C12" s="14">
        <v>12524.2835131681</v>
      </c>
      <c r="D12" s="14">
        <v>21387.5235489999</v>
      </c>
      <c r="E12" s="14">
        <v>35214.2136181455</v>
      </c>
      <c r="F12" s="14">
        <v>56642.0214901075</v>
      </c>
      <c r="G12" s="14">
        <v>90211.577746055</v>
      </c>
      <c r="H12" s="14">
        <v>142061.900579094</v>
      </c>
      <c r="I12" s="14">
        <v>232340.775331856</v>
      </c>
      <c r="J12" s="14">
        <v>381674.201765365</v>
      </c>
      <c r="K12" s="14">
        <v>636260.067378577</v>
      </c>
      <c r="L12" s="14">
        <v>1114197.25653265</v>
      </c>
      <c r="M12" s="14">
        <v>2159140.23190711</v>
      </c>
      <c r="N12" s="14">
        <v>5079078.89550961</v>
      </c>
      <c r="O12" s="14">
        <v>9746611.5422818</v>
      </c>
      <c r="P12" s="14">
        <v>1.11551774309764E7</v>
      </c>
      <c r="Q12" s="14">
        <v>9788138.01086372</v>
      </c>
      <c r="R12" s="14">
        <v>7201335.14960771</v>
      </c>
      <c r="S12" s="14">
        <v>5213415.8639064</v>
      </c>
      <c r="T12" s="14">
        <v>3942709.91350902</v>
      </c>
      <c r="U12" s="14">
        <v>3095684.82504509</v>
      </c>
      <c r="V12" s="14">
        <v>2487216.41206029</v>
      </c>
      <c r="W12" s="14">
        <v>2208338.1511832</v>
      </c>
      <c r="X12" s="14">
        <v>2190033.15278499</v>
      </c>
      <c r="Y12" s="14">
        <v>2190033.15278499</v>
      </c>
      <c r="Z12" s="14">
        <v>2190033.15278499</v>
      </c>
      <c r="AA12" s="14">
        <v>2190033.15278499</v>
      </c>
      <c r="AB12" s="14">
        <v>2190033.15278499</v>
      </c>
      <c r="AC12" s="14">
        <v>2190033.15278499</v>
      </c>
      <c r="AD12" s="14">
        <v>2190033.15278499</v>
      </c>
      <c r="AE12" s="14">
        <v>2190033.15278499</v>
      </c>
      <c r="AF12" s="14">
        <v>2190033.15278499</v>
      </c>
      <c r="AG12" s="14">
        <v>2190033.15278499</v>
      </c>
      <c r="AH12" s="14">
        <v>2190033.15278499</v>
      </c>
      <c r="AI12" s="14">
        <v>2190033.15278499</v>
      </c>
      <c r="AJ12" s="14">
        <v>2190033.15278499</v>
      </c>
      <c r="AK12" s="14">
        <v>2190033.15278499</v>
      </c>
      <c r="AL12" s="14">
        <v>2190033.15278499</v>
      </c>
      <c r="AM12" s="14">
        <v>2190033.15278499</v>
      </c>
      <c r="AN12" s="14">
        <v>2190033.15278499</v>
      </c>
      <c r="AO12" s="14">
        <v>2190033.15278499</v>
      </c>
      <c r="AP12" s="14">
        <v>2190033.15278499</v>
      </c>
      <c r="AQ12" s="14">
        <v>2190033.15278499</v>
      </c>
      <c r="AR12" s="14">
        <v>2190033.15278499</v>
      </c>
      <c r="AS12" s="14">
        <v>2190033.15278499</v>
      </c>
      <c r="AT12" s="14">
        <v>2190033.15278499</v>
      </c>
    </row>
    <row r="13">
      <c r="A13" s="14" t="s">
        <v>14</v>
      </c>
      <c r="B13" s="14">
        <v>589.9151</v>
      </c>
      <c r="C13" s="14">
        <v>589.8465</v>
      </c>
      <c r="D13" s="14">
        <v>589.7376</v>
      </c>
      <c r="E13" s="14">
        <v>589.5675</v>
      </c>
      <c r="F13" s="14">
        <v>589.3036</v>
      </c>
      <c r="G13" s="14">
        <v>588.8894</v>
      </c>
      <c r="H13" s="14">
        <v>588.2485</v>
      </c>
      <c r="I13" s="14">
        <v>587.1302</v>
      </c>
      <c r="J13" s="14">
        <v>585.2757</v>
      </c>
      <c r="K13" s="14">
        <v>582.1048</v>
      </c>
      <c r="L13" s="14">
        <v>576.1292</v>
      </c>
      <c r="M13" s="14">
        <v>562.9878</v>
      </c>
      <c r="N13" s="14">
        <v>525.8851</v>
      </c>
      <c r="O13" s="14">
        <v>466.3339</v>
      </c>
      <c r="P13" s="14">
        <v>450.6154</v>
      </c>
      <c r="Q13" s="14">
        <v>470.9337</v>
      </c>
      <c r="R13" s="14">
        <v>504.7823</v>
      </c>
      <c r="S13" s="14">
        <v>529.539</v>
      </c>
      <c r="T13" s="14">
        <v>544.8987</v>
      </c>
      <c r="U13" s="14">
        <v>554.9326</v>
      </c>
      <c r="V13" s="14">
        <v>562.033</v>
      </c>
      <c r="W13" s="14">
        <v>565.2879</v>
      </c>
      <c r="X13" s="14">
        <v>565.5632</v>
      </c>
      <c r="Y13" s="14">
        <v>565.6271</v>
      </c>
      <c r="Z13" s="14">
        <v>565.6893</v>
      </c>
      <c r="AA13" s="14">
        <v>565.7499</v>
      </c>
      <c r="AB13" s="14">
        <v>565.8092</v>
      </c>
      <c r="AC13" s="14">
        <v>565.8669</v>
      </c>
      <c r="AD13" s="14">
        <v>565.9233</v>
      </c>
      <c r="AE13" s="14">
        <v>565.9784</v>
      </c>
      <c r="AF13" s="14">
        <v>566.0322</v>
      </c>
      <c r="AG13" s="14">
        <v>566.0848</v>
      </c>
      <c r="AH13" s="14">
        <v>566.1362</v>
      </c>
      <c r="AI13" s="14">
        <v>566.1865</v>
      </c>
      <c r="AJ13" s="14">
        <v>566.2357</v>
      </c>
      <c r="AK13" s="14">
        <v>566.2838</v>
      </c>
      <c r="AL13" s="14">
        <v>566.3309</v>
      </c>
      <c r="AM13" s="14">
        <v>566.377</v>
      </c>
      <c r="AN13" s="14">
        <v>566.4222</v>
      </c>
      <c r="AO13" s="14">
        <v>566.4664</v>
      </c>
      <c r="AP13" s="14">
        <v>566.5097</v>
      </c>
      <c r="AQ13" s="14">
        <v>566.5522</v>
      </c>
      <c r="AR13" s="14">
        <v>566.5939</v>
      </c>
      <c r="AS13" s="14">
        <v>566.6347</v>
      </c>
      <c r="AT13" s="14">
        <v>566.6748</v>
      </c>
    </row>
    <row r="14">
      <c r="A14" s="14" t="s">
        <v>15</v>
      </c>
      <c r="B14" s="1">
        <v>28670.0</v>
      </c>
      <c r="C14" s="1">
        <v>30501.0</v>
      </c>
      <c r="D14" s="1">
        <v>30503.0</v>
      </c>
      <c r="E14" s="1">
        <v>30507.0</v>
      </c>
      <c r="F14" s="1">
        <v>30511.0</v>
      </c>
      <c r="G14" s="1">
        <v>30517.0</v>
      </c>
      <c r="H14" s="1">
        <v>30525.0</v>
      </c>
      <c r="I14" s="1">
        <v>30533.0</v>
      </c>
      <c r="J14" s="1">
        <v>30544.0</v>
      </c>
      <c r="K14" s="1">
        <v>30555.0</v>
      </c>
      <c r="L14" s="17">
        <v>30557.0</v>
      </c>
      <c r="M14" s="17">
        <v>30509.0</v>
      </c>
      <c r="N14" s="17">
        <v>30212.0</v>
      </c>
      <c r="O14" s="17">
        <v>29861.0</v>
      </c>
      <c r="P14" s="17">
        <v>30613.0</v>
      </c>
      <c r="Q14" s="17">
        <v>31796.0</v>
      </c>
      <c r="R14" s="17">
        <v>33412.0</v>
      </c>
      <c r="S14" s="17">
        <v>34724.0</v>
      </c>
      <c r="T14" s="17">
        <v>35649.0</v>
      </c>
      <c r="U14" s="17">
        <v>36323.0</v>
      </c>
      <c r="V14" s="17">
        <v>36838.0</v>
      </c>
      <c r="W14" s="17">
        <v>37202.0</v>
      </c>
      <c r="X14" s="17">
        <v>37463.0</v>
      </c>
      <c r="Y14" s="17">
        <v>37707.0</v>
      </c>
      <c r="Z14" s="17">
        <v>37946.0</v>
      </c>
      <c r="AA14" s="17">
        <v>38183.0</v>
      </c>
      <c r="AB14" s="17">
        <v>38415.0</v>
      </c>
      <c r="AC14" s="17">
        <v>38644.0</v>
      </c>
      <c r="AD14" s="17">
        <v>38870.0</v>
      </c>
      <c r="AE14" s="17">
        <v>39093.0</v>
      </c>
      <c r="AF14" s="17">
        <v>39313.0</v>
      </c>
      <c r="AG14" s="17">
        <v>39529.0</v>
      </c>
      <c r="AH14" s="17">
        <v>39743.0</v>
      </c>
      <c r="AI14" s="17">
        <v>39953.0</v>
      </c>
      <c r="AJ14" s="17">
        <v>40161.0</v>
      </c>
      <c r="AK14" s="17">
        <v>40366.0</v>
      </c>
      <c r="AL14" s="17">
        <v>40569.0</v>
      </c>
      <c r="AM14" s="17">
        <v>40769.0</v>
      </c>
      <c r="AN14" s="17">
        <v>40966.0</v>
      </c>
      <c r="AO14" s="17">
        <v>41161.0</v>
      </c>
      <c r="AP14" s="17">
        <v>41354.0</v>
      </c>
      <c r="AQ14" s="17">
        <v>41544.0</v>
      </c>
      <c r="AR14" s="17">
        <v>41732.0</v>
      </c>
      <c r="AS14" s="17">
        <v>41917.0</v>
      </c>
      <c r="AT14" s="17">
        <v>42101.0</v>
      </c>
    </row>
    <row r="15">
      <c r="A15" s="14" t="s">
        <v>16</v>
      </c>
      <c r="B15" s="14">
        <v>157.0</v>
      </c>
      <c r="C15" s="15">
        <v>195.0</v>
      </c>
      <c r="D15" s="15">
        <v>244.00000000000003</v>
      </c>
      <c r="E15" s="15">
        <v>310.0</v>
      </c>
      <c r="F15" s="15">
        <v>398.0</v>
      </c>
      <c r="G15" s="15">
        <v>519.0</v>
      </c>
      <c r="H15" s="15">
        <v>684.0</v>
      </c>
      <c r="I15" s="15">
        <v>934.0</v>
      </c>
      <c r="J15" s="15">
        <v>1297.0</v>
      </c>
      <c r="K15" s="15">
        <v>1838.0</v>
      </c>
      <c r="L15" s="15">
        <v>2723.9999999999995</v>
      </c>
      <c r="M15" s="15">
        <v>4379.0</v>
      </c>
      <c r="N15" s="15">
        <v>8148.0</v>
      </c>
      <c r="O15" s="15">
        <v>12809.0</v>
      </c>
      <c r="P15" s="15">
        <v>13441.0</v>
      </c>
      <c r="Q15" s="15">
        <v>11244.0</v>
      </c>
      <c r="R15" s="15">
        <v>8094.0</v>
      </c>
      <c r="S15" s="15">
        <v>5815.0</v>
      </c>
      <c r="T15" s="15">
        <v>4384.0</v>
      </c>
      <c r="U15" s="15">
        <v>3438.0</v>
      </c>
      <c r="V15" s="15">
        <v>2760.0000000000005</v>
      </c>
      <c r="W15" s="15">
        <v>2450.0</v>
      </c>
      <c r="X15" s="15">
        <v>2430.0</v>
      </c>
      <c r="Y15" s="15">
        <v>2430.0</v>
      </c>
      <c r="Z15" s="15">
        <v>2430.0</v>
      </c>
      <c r="AA15" s="15">
        <v>2430.0</v>
      </c>
      <c r="AB15" s="15">
        <v>2430.0</v>
      </c>
      <c r="AC15" s="15">
        <v>2430.0</v>
      </c>
      <c r="AD15" s="15">
        <v>2430.0</v>
      </c>
      <c r="AE15" s="15">
        <v>2430.0</v>
      </c>
      <c r="AF15" s="15">
        <v>2430.0</v>
      </c>
      <c r="AG15" s="15">
        <v>2430.0</v>
      </c>
      <c r="AH15" s="15">
        <v>2430.0</v>
      </c>
      <c r="AI15" s="15">
        <v>2430.0</v>
      </c>
      <c r="AJ15" s="15">
        <v>2430.0</v>
      </c>
      <c r="AK15" s="15">
        <v>2430.0</v>
      </c>
      <c r="AL15" s="15">
        <v>2430.0</v>
      </c>
      <c r="AM15" s="15">
        <v>2430.0</v>
      </c>
      <c r="AN15" s="15">
        <v>2430.0</v>
      </c>
      <c r="AO15" s="15">
        <v>2430.0</v>
      </c>
      <c r="AP15" s="15">
        <v>2430.0</v>
      </c>
      <c r="AQ15" s="15">
        <v>2430.0</v>
      </c>
      <c r="AR15" s="15">
        <v>2430.0</v>
      </c>
      <c r="AS15" s="15">
        <v>2430.0</v>
      </c>
      <c r="AT15" s="15">
        <v>2430.0</v>
      </c>
    </row>
    <row r="17">
      <c r="A17" s="14" t="s">
        <v>23</v>
      </c>
      <c r="B17" s="17">
        <f t="shared" ref="B17:AT17" si="1">B3+B6+B4</f>
        <v>0.02902030258</v>
      </c>
      <c r="C17" s="17">
        <f t="shared" si="1"/>
        <v>0.02782081354</v>
      </c>
      <c r="D17" s="17">
        <f t="shared" si="1"/>
        <v>0.02662132448</v>
      </c>
      <c r="E17" s="17">
        <f t="shared" si="1"/>
        <v>0.0254087498</v>
      </c>
      <c r="F17" s="17">
        <f t="shared" si="1"/>
        <v>0.02420044231</v>
      </c>
      <c r="G17" s="17">
        <f t="shared" si="1"/>
        <v>0.02299668629</v>
      </c>
      <c r="H17" s="17">
        <f t="shared" si="1"/>
        <v>0.02182336774</v>
      </c>
      <c r="I17" s="17">
        <f t="shared" si="1"/>
        <v>0.0205863293</v>
      </c>
      <c r="J17" s="17">
        <f t="shared" si="1"/>
        <v>0.01937859078</v>
      </c>
      <c r="K17" s="17">
        <f t="shared" si="1"/>
        <v>0.01819872969</v>
      </c>
      <c r="L17" s="17">
        <f t="shared" si="1"/>
        <v>0.01700350746</v>
      </c>
      <c r="M17" s="17">
        <f t="shared" si="1"/>
        <v>0.01576049528</v>
      </c>
      <c r="N17" s="17">
        <f t="shared" si="1"/>
        <v>0.01459290946</v>
      </c>
      <c r="O17" s="17">
        <f t="shared" si="1"/>
        <v>0.01422176959</v>
      </c>
      <c r="P17" s="17">
        <f t="shared" si="1"/>
        <v>0.01532151981</v>
      </c>
      <c r="Q17" s="17">
        <f t="shared" si="1"/>
        <v>0.01787376751</v>
      </c>
      <c r="R17" s="17">
        <f t="shared" si="1"/>
        <v>0.02176124957</v>
      </c>
      <c r="S17" s="17">
        <f t="shared" si="1"/>
        <v>0.02610595767</v>
      </c>
      <c r="T17" s="17">
        <f t="shared" si="1"/>
        <v>0.03040376679</v>
      </c>
      <c r="U17" s="17">
        <f t="shared" si="1"/>
        <v>0.03464545076</v>
      </c>
      <c r="V17" s="17">
        <f t="shared" si="1"/>
        <v>0.03897180456</v>
      </c>
      <c r="W17" s="17">
        <f t="shared" si="1"/>
        <v>0.04164964952</v>
      </c>
      <c r="X17" s="17">
        <f t="shared" si="1"/>
        <v>0.04203700635</v>
      </c>
      <c r="Y17" s="17">
        <f t="shared" si="1"/>
        <v>0.04203700635</v>
      </c>
      <c r="Z17" s="17">
        <f t="shared" si="1"/>
        <v>0.04203700635</v>
      </c>
      <c r="AA17" s="17">
        <f t="shared" si="1"/>
        <v>0.04203700635</v>
      </c>
      <c r="AB17" s="17">
        <f t="shared" si="1"/>
        <v>0.04203700635</v>
      </c>
      <c r="AC17" s="17">
        <f t="shared" si="1"/>
        <v>0.04203700635</v>
      </c>
      <c r="AD17" s="17">
        <f t="shared" si="1"/>
        <v>0.04203700635</v>
      </c>
      <c r="AE17" s="17">
        <f t="shared" si="1"/>
        <v>0.04203700635</v>
      </c>
      <c r="AF17" s="17">
        <f t="shared" si="1"/>
        <v>0.04203700635</v>
      </c>
      <c r="AG17" s="17">
        <f t="shared" si="1"/>
        <v>0.04203700635</v>
      </c>
      <c r="AH17" s="17">
        <f t="shared" si="1"/>
        <v>0.04203700635</v>
      </c>
      <c r="AI17" s="17">
        <f t="shared" si="1"/>
        <v>0.04203700635</v>
      </c>
      <c r="AJ17" s="17">
        <f t="shared" si="1"/>
        <v>0.04203700635</v>
      </c>
      <c r="AK17" s="17">
        <f t="shared" si="1"/>
        <v>0.04203700635</v>
      </c>
      <c r="AL17" s="17">
        <f t="shared" si="1"/>
        <v>0.04203700635</v>
      </c>
      <c r="AM17" s="17">
        <f t="shared" si="1"/>
        <v>0.04203700635</v>
      </c>
      <c r="AN17" s="17">
        <f t="shared" si="1"/>
        <v>0.04203700635</v>
      </c>
      <c r="AO17" s="17">
        <f t="shared" si="1"/>
        <v>0.04203700635</v>
      </c>
      <c r="AP17" s="17">
        <f t="shared" si="1"/>
        <v>0.04203700635</v>
      </c>
      <c r="AQ17" s="17">
        <f t="shared" si="1"/>
        <v>0.04203700635</v>
      </c>
      <c r="AR17" s="17">
        <f t="shared" si="1"/>
        <v>0.04203700635</v>
      </c>
      <c r="AS17" s="17">
        <f t="shared" si="1"/>
        <v>0.04203700635</v>
      </c>
      <c r="AT17" s="17">
        <f t="shared" si="1"/>
        <v>0.04203700635</v>
      </c>
    </row>
    <row r="18">
      <c r="A18" s="14" t="s">
        <v>24</v>
      </c>
      <c r="B18" s="17">
        <f t="shared" ref="B18:AT18" si="2">B3+B4</f>
        <v>0.02584529623</v>
      </c>
      <c r="C18" s="17">
        <f t="shared" si="2"/>
        <v>0.02476575187</v>
      </c>
      <c r="D18" s="17">
        <f t="shared" si="2"/>
        <v>0.0236862075</v>
      </c>
      <c r="E18" s="17">
        <f t="shared" si="2"/>
        <v>0.0225935775</v>
      </c>
      <c r="F18" s="17">
        <f t="shared" si="2"/>
        <v>0.0215052147</v>
      </c>
      <c r="G18" s="17">
        <f t="shared" si="2"/>
        <v>0.02042140336</v>
      </c>
      <c r="H18" s="17">
        <f t="shared" si="2"/>
        <v>0.0193680295</v>
      </c>
      <c r="I18" s="17">
        <f t="shared" si="2"/>
        <v>0.01825093574</v>
      </c>
      <c r="J18" s="17">
        <f t="shared" si="2"/>
        <v>0.01716314191</v>
      </c>
      <c r="K18" s="17">
        <f t="shared" si="2"/>
        <v>0.0161032255</v>
      </c>
      <c r="L18" s="17">
        <f t="shared" si="2"/>
        <v>0.01502794796</v>
      </c>
      <c r="M18" s="17">
        <f t="shared" si="2"/>
        <v>0.01390488045</v>
      </c>
      <c r="N18" s="17">
        <f t="shared" si="2"/>
        <v>0.01285723932</v>
      </c>
      <c r="O18" s="17">
        <f t="shared" si="2"/>
        <v>0.01272598882</v>
      </c>
      <c r="P18" s="17">
        <f t="shared" si="2"/>
        <v>0.01382573904</v>
      </c>
      <c r="Q18" s="17">
        <f t="shared" si="2"/>
        <v>0.01616808355</v>
      </c>
      <c r="R18" s="17">
        <f t="shared" si="2"/>
        <v>0.01984566241</v>
      </c>
      <c r="S18" s="17">
        <f t="shared" si="2"/>
        <v>0.0239804673</v>
      </c>
      <c r="T18" s="17">
        <f t="shared" si="2"/>
        <v>0.02806837323</v>
      </c>
      <c r="U18" s="17">
        <f t="shared" si="2"/>
        <v>0.032100154</v>
      </c>
      <c r="V18" s="17">
        <f t="shared" si="2"/>
        <v>0.03621660461</v>
      </c>
      <c r="W18" s="17">
        <f t="shared" si="2"/>
        <v>0.03868454636</v>
      </c>
      <c r="X18" s="17">
        <f t="shared" si="2"/>
        <v>0.038862</v>
      </c>
      <c r="Y18" s="17">
        <f t="shared" si="2"/>
        <v>0.038862</v>
      </c>
      <c r="Z18" s="17">
        <f t="shared" si="2"/>
        <v>0.038862</v>
      </c>
      <c r="AA18" s="17">
        <f t="shared" si="2"/>
        <v>0.038862</v>
      </c>
      <c r="AB18" s="17">
        <f t="shared" si="2"/>
        <v>0.038862</v>
      </c>
      <c r="AC18" s="17">
        <f t="shared" si="2"/>
        <v>0.038862</v>
      </c>
      <c r="AD18" s="17">
        <f t="shared" si="2"/>
        <v>0.038862</v>
      </c>
      <c r="AE18" s="17">
        <f t="shared" si="2"/>
        <v>0.038862</v>
      </c>
      <c r="AF18" s="17">
        <f t="shared" si="2"/>
        <v>0.038862</v>
      </c>
      <c r="AG18" s="17">
        <f t="shared" si="2"/>
        <v>0.038862</v>
      </c>
      <c r="AH18" s="17">
        <f t="shared" si="2"/>
        <v>0.038862</v>
      </c>
      <c r="AI18" s="17">
        <f t="shared" si="2"/>
        <v>0.038862</v>
      </c>
      <c r="AJ18" s="17">
        <f t="shared" si="2"/>
        <v>0.038862</v>
      </c>
      <c r="AK18" s="17">
        <f t="shared" si="2"/>
        <v>0.038862</v>
      </c>
      <c r="AL18" s="17">
        <f t="shared" si="2"/>
        <v>0.038862</v>
      </c>
      <c r="AM18" s="17">
        <f t="shared" si="2"/>
        <v>0.038862</v>
      </c>
      <c r="AN18" s="17">
        <f t="shared" si="2"/>
        <v>0.038862</v>
      </c>
      <c r="AO18" s="17">
        <f t="shared" si="2"/>
        <v>0.038862</v>
      </c>
      <c r="AP18" s="17">
        <f t="shared" si="2"/>
        <v>0.038862</v>
      </c>
      <c r="AQ18" s="17">
        <f t="shared" si="2"/>
        <v>0.038862</v>
      </c>
      <c r="AR18" s="17">
        <f t="shared" si="2"/>
        <v>0.038862</v>
      </c>
      <c r="AS18" s="17">
        <f t="shared" si="2"/>
        <v>0.038862</v>
      </c>
      <c r="AT18" s="17">
        <f t="shared" si="2"/>
        <v>0.038862</v>
      </c>
    </row>
    <row r="21">
      <c r="A21" s="18" t="s">
        <v>25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</row>
    <row r="22">
      <c r="A22" s="16" t="s">
        <v>26</v>
      </c>
      <c r="B22" s="19">
        <v>0.179578359156718</v>
      </c>
      <c r="C22" s="19">
        <v>0.175497032812247</v>
      </c>
      <c r="D22" s="19">
        <v>0.171415706467777</v>
      </c>
      <c r="E22" s="19">
        <v>0.167334380123306</v>
      </c>
      <c r="F22" s="19">
        <v>0.163253053778835</v>
      </c>
      <c r="G22" s="19">
        <v>0.159171727434364</v>
      </c>
      <c r="H22" s="19">
        <v>0.155090401089893</v>
      </c>
      <c r="I22" s="19">
        <v>0.151009074745422</v>
      </c>
      <c r="J22" s="19">
        <v>0.146927748400951</v>
      </c>
      <c r="K22" s="19">
        <v>0.14284642205648</v>
      </c>
      <c r="L22" s="19">
        <v>0.13876509571201</v>
      </c>
      <c r="M22" s="19">
        <v>0.134683769367539</v>
      </c>
      <c r="N22" s="19">
        <v>0.130602443023068</v>
      </c>
      <c r="O22" s="19">
        <v>0.126521116678597</v>
      </c>
      <c r="P22" s="19">
        <v>0.122439790334126</v>
      </c>
      <c r="Q22" s="19">
        <v>0.118358463989655</v>
      </c>
      <c r="R22" s="19">
        <v>0.114277137645184</v>
      </c>
      <c r="S22" s="19">
        <v>0.110195811300714</v>
      </c>
      <c r="T22" s="19">
        <v>0.106114484956243</v>
      </c>
      <c r="U22" s="19">
        <v>0.102033158611772</v>
      </c>
      <c r="V22" s="19">
        <v>0.097951832267301</v>
      </c>
      <c r="W22" s="19">
        <v>0.09387050592283</v>
      </c>
      <c r="X22" s="19">
        <v>0.089789179578359</v>
      </c>
      <c r="Y22" s="19">
        <v>0.085707853233888</v>
      </c>
      <c r="Z22" s="19">
        <v>0.081626526889417</v>
      </c>
      <c r="AA22" s="19">
        <v>0.077545200544947</v>
      </c>
      <c r="AB22" s="19">
        <v>0.073463874200476</v>
      </c>
      <c r="AC22" s="19">
        <v>0.069382547856005</v>
      </c>
      <c r="AD22" s="19">
        <v>0.065301221511534</v>
      </c>
      <c r="AE22" s="19">
        <v>0.061219895167063</v>
      </c>
      <c r="AF22" s="19">
        <v>0.057138568822592</v>
      </c>
      <c r="AG22" s="19">
        <v>0.053057242478121</v>
      </c>
      <c r="AH22" s="19">
        <v>0.04897591613365</v>
      </c>
      <c r="AI22" s="19">
        <v>0.04489458978918</v>
      </c>
      <c r="AJ22" s="19">
        <v>0.040813263444709</v>
      </c>
      <c r="AK22" s="19">
        <v>0.036731937100238</v>
      </c>
      <c r="AL22" s="19">
        <v>0.032650610755767</v>
      </c>
      <c r="AM22" s="19">
        <v>0.028569284411296</v>
      </c>
      <c r="AN22" s="19">
        <v>0.024487958066825</v>
      </c>
      <c r="AO22" s="19">
        <v>0.020406631722354</v>
      </c>
      <c r="AP22" s="19">
        <v>0.016325305377883</v>
      </c>
      <c r="AQ22" s="19">
        <v>0.012243979033413</v>
      </c>
      <c r="AR22" s="19">
        <v>0.008162652688942</v>
      </c>
      <c r="AS22" s="19">
        <v>0.004081326344471</v>
      </c>
      <c r="AT22" s="19">
        <v>0.0</v>
      </c>
    </row>
    <row r="23">
      <c r="A23" s="16" t="s">
        <v>27</v>
      </c>
      <c r="B23" s="19">
        <v>4.55033181818181</v>
      </c>
      <c r="C23" s="19">
        <v>4.16721304347826</v>
      </c>
      <c r="D23" s="19">
        <v>3.80080454545454</v>
      </c>
      <c r="E23" s="19">
        <v>3.44726818181818</v>
      </c>
      <c r="F23" s="19">
        <v>3.1121652173913</v>
      </c>
      <c r="G23" s="19">
        <v>2.79545909090909</v>
      </c>
      <c r="H23" s="19">
        <v>2.50401818181818</v>
      </c>
      <c r="I23" s="19">
        <v>2.21257391304347</v>
      </c>
      <c r="J23" s="19">
        <v>1.94583636363636</v>
      </c>
      <c r="K23" s="19">
        <v>1.70255</v>
      </c>
      <c r="L23" s="19">
        <v>1.47240434782608</v>
      </c>
      <c r="M23" s="19">
        <v>1.24981363636363</v>
      </c>
      <c r="N23" s="19">
        <v>1.05847727272727</v>
      </c>
      <c r="O23" s="19">
        <v>1.03523636363636</v>
      </c>
      <c r="P23" s="19">
        <v>1.23580869565217</v>
      </c>
      <c r="Q23" s="19">
        <v>1.72187272727272</v>
      </c>
      <c r="R23" s="19">
        <v>2.64310909090909</v>
      </c>
      <c r="S23" s="19">
        <v>3.90896956521739</v>
      </c>
      <c r="T23" s="19">
        <v>5.40174545454545</v>
      </c>
      <c r="U23" s="19">
        <v>7.11120454545454</v>
      </c>
      <c r="V23" s="19">
        <v>9.09990869565217</v>
      </c>
      <c r="W23" s="19">
        <v>10.3995909090909</v>
      </c>
      <c r="X23" s="19">
        <v>10.497</v>
      </c>
      <c r="Y23" s="19">
        <v>10.497</v>
      </c>
      <c r="Z23" s="19">
        <v>10.497</v>
      </c>
      <c r="AA23" s="19">
        <v>10.497</v>
      </c>
      <c r="AB23" s="19">
        <v>10.497</v>
      </c>
      <c r="AC23" s="19">
        <v>10.497</v>
      </c>
      <c r="AD23" s="19">
        <v>10.497</v>
      </c>
      <c r="AE23" s="19">
        <v>10.497</v>
      </c>
      <c r="AF23" s="19">
        <v>10.497</v>
      </c>
      <c r="AG23" s="19">
        <v>10.497</v>
      </c>
      <c r="AH23" s="19">
        <v>10.497</v>
      </c>
      <c r="AI23" s="19">
        <v>10.497</v>
      </c>
      <c r="AJ23" s="19">
        <v>10.497</v>
      </c>
      <c r="AK23" s="19">
        <v>10.497</v>
      </c>
      <c r="AL23" s="19">
        <v>10.497</v>
      </c>
      <c r="AM23" s="19">
        <v>10.497</v>
      </c>
      <c r="AN23" s="19">
        <v>10.497</v>
      </c>
      <c r="AO23" s="19">
        <v>10.497</v>
      </c>
      <c r="AP23" s="19">
        <v>10.497</v>
      </c>
      <c r="AQ23" s="19">
        <v>10.497</v>
      </c>
      <c r="AR23" s="19">
        <v>10.497</v>
      </c>
      <c r="AS23" s="19">
        <v>10.497</v>
      </c>
      <c r="AT23" s="19">
        <v>10.497</v>
      </c>
    </row>
    <row r="24">
      <c r="A24" s="16" t="s">
        <v>28</v>
      </c>
      <c r="B24" s="19">
        <v>0.47115</v>
      </c>
      <c r="C24" s="19">
        <v>0.472343478260869</v>
      </c>
      <c r="D24" s="19">
        <v>0.4736</v>
      </c>
      <c r="E24" s="19">
        <v>0.474959090909091</v>
      </c>
      <c r="F24" s="19">
        <v>0.476352173913043</v>
      </c>
      <c r="G24" s="19">
        <v>0.477804545454545</v>
      </c>
      <c r="H24" s="19">
        <v>0.479209090909091</v>
      </c>
      <c r="I24" s="19">
        <v>0.480852173913043</v>
      </c>
      <c r="J24" s="19">
        <v>0.482445454545455</v>
      </c>
      <c r="K24" s="19">
        <v>0.484159090909091</v>
      </c>
      <c r="L24" s="19">
        <v>0.486026086956522</v>
      </c>
      <c r="M24" s="19">
        <v>0.487581818181818</v>
      </c>
      <c r="N24" s="19">
        <v>0.488609090909091</v>
      </c>
      <c r="O24" s="19">
        <v>0.488727272727273</v>
      </c>
      <c r="P24" s="19">
        <v>0.48845652173913</v>
      </c>
      <c r="Q24" s="19">
        <v>0.488236363636364</v>
      </c>
      <c r="R24" s="19">
        <v>0.488104545454545</v>
      </c>
      <c r="S24" s="19">
        <v>0.4881</v>
      </c>
      <c r="T24" s="19">
        <v>0.488022727272727</v>
      </c>
      <c r="U24" s="19">
        <v>0.488</v>
      </c>
      <c r="V24" s="19">
        <v>0.488</v>
      </c>
      <c r="W24" s="19">
        <v>0.488</v>
      </c>
      <c r="X24" s="19">
        <v>0.488</v>
      </c>
      <c r="Y24" s="19">
        <v>0.488</v>
      </c>
      <c r="Z24" s="19">
        <v>0.488</v>
      </c>
      <c r="AA24" s="19">
        <v>0.488</v>
      </c>
      <c r="AB24" s="19">
        <v>0.488</v>
      </c>
      <c r="AC24" s="19">
        <v>0.488</v>
      </c>
      <c r="AD24" s="19">
        <v>0.488</v>
      </c>
      <c r="AE24" s="19">
        <v>0.488</v>
      </c>
      <c r="AF24" s="19">
        <v>0.488</v>
      </c>
      <c r="AG24" s="19">
        <v>0.488</v>
      </c>
      <c r="AH24" s="19">
        <v>0.488</v>
      </c>
      <c r="AI24" s="19">
        <v>0.488</v>
      </c>
      <c r="AJ24" s="19">
        <v>0.488</v>
      </c>
      <c r="AK24" s="19">
        <v>0.488</v>
      </c>
      <c r="AL24" s="19">
        <v>0.488</v>
      </c>
      <c r="AM24" s="19">
        <v>0.488</v>
      </c>
      <c r="AN24" s="19">
        <v>0.488</v>
      </c>
      <c r="AO24" s="19">
        <v>0.488</v>
      </c>
      <c r="AP24" s="19">
        <v>0.488</v>
      </c>
      <c r="AQ24" s="19">
        <v>0.488</v>
      </c>
      <c r="AR24" s="19">
        <v>0.488</v>
      </c>
      <c r="AS24" s="19">
        <v>0.488</v>
      </c>
      <c r="AT24" s="19">
        <v>0.488</v>
      </c>
    </row>
    <row r="25">
      <c r="A25" s="16" t="s">
        <v>29</v>
      </c>
      <c r="B25" s="19">
        <v>2.92027272727272</v>
      </c>
      <c r="C25" s="19">
        <v>2.83721739130434</v>
      </c>
      <c r="D25" s="19">
        <v>2.75018181818181</v>
      </c>
      <c r="E25" s="19">
        <v>2.65781818181818</v>
      </c>
      <c r="F25" s="19">
        <v>2.56086956521739</v>
      </c>
      <c r="G25" s="19">
        <v>2.45795454545454</v>
      </c>
      <c r="H25" s="19">
        <v>2.35109090909091</v>
      </c>
      <c r="I25" s="19">
        <v>2.22852173913043</v>
      </c>
      <c r="J25" s="19">
        <v>2.09727272727272</v>
      </c>
      <c r="K25" s="19">
        <v>1.95427272727272</v>
      </c>
      <c r="L25" s="19">
        <v>1.78678260869565</v>
      </c>
      <c r="M25" s="19">
        <v>1.56918181818181</v>
      </c>
      <c r="N25" s="19">
        <v>1.22763636363636</v>
      </c>
      <c r="O25" s="19">
        <v>0.831545454545455</v>
      </c>
      <c r="P25" s="19">
        <v>0.578739130434783</v>
      </c>
      <c r="Q25" s="19">
        <v>0.375136363636364</v>
      </c>
      <c r="R25" s="19">
        <v>0.2325</v>
      </c>
      <c r="S25" s="19">
        <v>0.153869565217391</v>
      </c>
      <c r="T25" s="19">
        <v>0.110181818181818</v>
      </c>
      <c r="U25" s="19">
        <v>0.083181818181818</v>
      </c>
      <c r="V25" s="19">
        <v>0.064913043478261</v>
      </c>
      <c r="W25" s="19">
        <v>0.0565</v>
      </c>
      <c r="X25" s="19">
        <v>0.056</v>
      </c>
      <c r="Y25" s="19">
        <v>0.056</v>
      </c>
      <c r="Z25" s="19">
        <v>0.056</v>
      </c>
      <c r="AA25" s="19">
        <v>0.056</v>
      </c>
      <c r="AB25" s="19">
        <v>0.056</v>
      </c>
      <c r="AC25" s="19">
        <v>0.056</v>
      </c>
      <c r="AD25" s="19">
        <v>0.056</v>
      </c>
      <c r="AE25" s="19">
        <v>0.056</v>
      </c>
      <c r="AF25" s="19">
        <v>0.056</v>
      </c>
      <c r="AG25" s="19">
        <v>0.056</v>
      </c>
      <c r="AH25" s="19">
        <v>0.056</v>
      </c>
      <c r="AI25" s="19">
        <v>0.056</v>
      </c>
      <c r="AJ25" s="19">
        <v>0.056</v>
      </c>
      <c r="AK25" s="19">
        <v>0.056</v>
      </c>
      <c r="AL25" s="19">
        <v>0.056</v>
      </c>
      <c r="AM25" s="19">
        <v>0.056</v>
      </c>
      <c r="AN25" s="19">
        <v>0.056</v>
      </c>
      <c r="AO25" s="19">
        <v>0.056</v>
      </c>
      <c r="AP25" s="19">
        <v>0.056</v>
      </c>
      <c r="AQ25" s="19">
        <v>0.056</v>
      </c>
      <c r="AR25" s="19">
        <v>0.056</v>
      </c>
      <c r="AS25" s="19">
        <v>0.056</v>
      </c>
      <c r="AT25" s="19">
        <v>0.056</v>
      </c>
    </row>
    <row r="26">
      <c r="A26" s="16" t="s">
        <v>30</v>
      </c>
      <c r="B26" s="19">
        <v>1.35348636363636</v>
      </c>
      <c r="C26" s="19">
        <v>1.3512304347826</v>
      </c>
      <c r="D26" s="19">
        <v>1.3488</v>
      </c>
      <c r="E26" s="19">
        <v>1.34616363636363</v>
      </c>
      <c r="F26" s="19">
        <v>1.3433304347826</v>
      </c>
      <c r="G26" s="19">
        <v>1.34030909090909</v>
      </c>
      <c r="H26" s="19">
        <v>1.33715</v>
      </c>
      <c r="I26" s="19">
        <v>1.3335304347826</v>
      </c>
      <c r="J26" s="19">
        <v>1.32962727272727</v>
      </c>
      <c r="K26" s="19">
        <v>1.32537272727272</v>
      </c>
      <c r="L26" s="19">
        <v>1.32044347826086</v>
      </c>
      <c r="M26" s="19">
        <v>1.31446818181818</v>
      </c>
      <c r="N26" s="19">
        <v>1.3061409090909</v>
      </c>
      <c r="O26" s="19">
        <v>1.29838636363636</v>
      </c>
      <c r="P26" s="19">
        <v>1.29496956521739</v>
      </c>
      <c r="Q26" s="19">
        <v>1.29307272727272</v>
      </c>
      <c r="R26" s="19">
        <v>1.29222272727272</v>
      </c>
      <c r="S26" s="19">
        <v>1.29191739130434</v>
      </c>
      <c r="T26" s="19">
        <v>1.29179999999999</v>
      </c>
      <c r="U26" s="19">
        <v>1.29175454545454</v>
      </c>
      <c r="V26" s="19">
        <v>1.2917</v>
      </c>
      <c r="W26" s="19">
        <v>1.2917</v>
      </c>
      <c r="X26" s="19">
        <v>1.2917</v>
      </c>
      <c r="Y26" s="19">
        <v>1.2917</v>
      </c>
      <c r="Z26" s="19">
        <v>1.2917</v>
      </c>
      <c r="AA26" s="19">
        <v>1.2917</v>
      </c>
      <c r="AB26" s="19">
        <v>1.2917</v>
      </c>
      <c r="AC26" s="19">
        <v>1.2917</v>
      </c>
      <c r="AD26" s="19">
        <v>1.2917</v>
      </c>
      <c r="AE26" s="19">
        <v>1.2917</v>
      </c>
      <c r="AF26" s="19">
        <v>1.2917</v>
      </c>
      <c r="AG26" s="19">
        <v>1.2917</v>
      </c>
      <c r="AH26" s="19">
        <v>1.2917</v>
      </c>
      <c r="AI26" s="19">
        <v>1.2917</v>
      </c>
      <c r="AJ26" s="19">
        <v>1.2917</v>
      </c>
      <c r="AK26" s="19">
        <v>1.2917</v>
      </c>
      <c r="AL26" s="19">
        <v>1.2917</v>
      </c>
      <c r="AM26" s="19">
        <v>1.2917</v>
      </c>
      <c r="AN26" s="19">
        <v>1.2917</v>
      </c>
      <c r="AO26" s="19">
        <v>1.2917</v>
      </c>
      <c r="AP26" s="19">
        <v>1.2917</v>
      </c>
      <c r="AQ26" s="19">
        <v>1.2917</v>
      </c>
      <c r="AR26" s="19">
        <v>1.2917</v>
      </c>
      <c r="AS26" s="19">
        <v>1.2917</v>
      </c>
      <c r="AT26" s="19">
        <v>1.2917</v>
      </c>
    </row>
    <row r="27">
      <c r="A27" s="16" t="s">
        <v>31</v>
      </c>
      <c r="B27" s="5">
        <v>635.627727272727</v>
      </c>
      <c r="C27" s="5">
        <v>658.451304347826</v>
      </c>
      <c r="D27" s="5">
        <v>683.239545454545</v>
      </c>
      <c r="E27" s="5">
        <v>710.659090909091</v>
      </c>
      <c r="F27" s="5">
        <v>740.66304347826</v>
      </c>
      <c r="G27" s="5">
        <v>773.690909090909</v>
      </c>
      <c r="H27" s="5">
        <v>809.421818181818</v>
      </c>
      <c r="I27" s="5">
        <v>852.128260869565</v>
      </c>
      <c r="J27" s="5">
        <v>899.57409090909</v>
      </c>
      <c r="K27" s="5">
        <v>953.265454545454</v>
      </c>
      <c r="L27" s="5">
        <v>1018.27782608695</v>
      </c>
      <c r="M27" s="5">
        <v>1104.64772727272</v>
      </c>
      <c r="N27" s="5">
        <v>1237.83818181818</v>
      </c>
      <c r="O27" s="5">
        <v>1377.67818181818</v>
      </c>
      <c r="P27" s="5">
        <v>1447.39391304347</v>
      </c>
      <c r="Q27" s="5">
        <v>1488.23363636363</v>
      </c>
      <c r="R27" s="5">
        <v>1507.27772727272</v>
      </c>
      <c r="S27" s="5">
        <v>1514.09391304347</v>
      </c>
      <c r="T27" s="5">
        <v>1516.67636363636</v>
      </c>
      <c r="U27" s="5">
        <v>1517.83954545454</v>
      </c>
      <c r="V27" s="5">
        <v>1518.44608695652</v>
      </c>
      <c r="W27" s="5">
        <v>1518.67545454545</v>
      </c>
      <c r="X27" s="5">
        <v>1518.69</v>
      </c>
      <c r="Y27" s="5">
        <v>1518.69</v>
      </c>
      <c r="Z27" s="5">
        <v>1518.69</v>
      </c>
      <c r="AA27" s="5">
        <v>1518.69</v>
      </c>
      <c r="AB27" s="5">
        <v>1518.69</v>
      </c>
      <c r="AC27" s="5">
        <v>1518.69</v>
      </c>
      <c r="AD27" s="5">
        <v>1518.69</v>
      </c>
      <c r="AE27" s="5">
        <v>1518.69</v>
      </c>
      <c r="AF27" s="5">
        <v>1518.69</v>
      </c>
      <c r="AG27" s="5">
        <v>1518.69</v>
      </c>
      <c r="AH27" s="5">
        <v>1518.69</v>
      </c>
      <c r="AI27" s="5">
        <v>1518.69</v>
      </c>
      <c r="AJ27" s="5">
        <v>1518.69</v>
      </c>
      <c r="AK27" s="5">
        <v>1518.69</v>
      </c>
      <c r="AL27" s="5">
        <v>1518.69</v>
      </c>
      <c r="AM27" s="5">
        <v>1518.69</v>
      </c>
      <c r="AN27" s="5">
        <v>1518.69</v>
      </c>
      <c r="AO27" s="5">
        <v>1518.69</v>
      </c>
      <c r="AP27" s="5">
        <v>1518.69</v>
      </c>
      <c r="AQ27" s="5">
        <v>1518.69</v>
      </c>
      <c r="AR27" s="5">
        <v>1518.69</v>
      </c>
      <c r="AS27" s="5">
        <v>1518.69</v>
      </c>
      <c r="AT27" s="5">
        <v>1518.69</v>
      </c>
    </row>
    <row r="28">
      <c r="A28" s="16" t="s">
        <v>32</v>
      </c>
      <c r="B28" s="19">
        <v>0.288642272727273</v>
      </c>
      <c r="C28" s="19">
        <v>0.295778695652174</v>
      </c>
      <c r="D28" s="19">
        <v>0.303421818181818</v>
      </c>
      <c r="E28" s="19">
        <v>0.311754090909091</v>
      </c>
      <c r="F28" s="19">
        <v>0.320732173913043</v>
      </c>
      <c r="G28" s="19">
        <v>0.330458181818182</v>
      </c>
      <c r="H28" s="19">
        <v>0.340803636363636</v>
      </c>
      <c r="I28" s="19">
        <v>0.35294347826087</v>
      </c>
      <c r="J28" s="19">
        <v>0.366170454545454</v>
      </c>
      <c r="K28" s="19">
        <v>0.380824090909091</v>
      </c>
      <c r="L28" s="19">
        <v>0.398144347826087</v>
      </c>
      <c r="M28" s="19">
        <v>0.420386363636363</v>
      </c>
      <c r="N28" s="19">
        <v>0.453224090909091</v>
      </c>
      <c r="O28" s="19">
        <v>0.486566363636364</v>
      </c>
      <c r="P28" s="19">
        <v>0.502777826086956</v>
      </c>
      <c r="Q28" s="19">
        <v>0.512177272727273</v>
      </c>
      <c r="R28" s="19">
        <v>0.516535454545455</v>
      </c>
      <c r="S28" s="19">
        <v>0.518093043478261</v>
      </c>
      <c r="T28" s="19">
        <v>0.518682727272727</v>
      </c>
      <c r="U28" s="19">
        <v>0.518947727272727</v>
      </c>
      <c r="V28" s="19">
        <v>0.519086956521739</v>
      </c>
      <c r="W28" s="19">
        <v>0.519138181818182</v>
      </c>
      <c r="X28" s="19">
        <v>0.51914</v>
      </c>
      <c r="Y28" s="19">
        <v>0.51914</v>
      </c>
      <c r="Z28" s="19">
        <v>0.51914</v>
      </c>
      <c r="AA28" s="19">
        <v>0.51914</v>
      </c>
      <c r="AB28" s="19">
        <v>0.51914</v>
      </c>
      <c r="AC28" s="19">
        <v>0.51914</v>
      </c>
      <c r="AD28" s="19">
        <v>0.51914</v>
      </c>
      <c r="AE28" s="19">
        <v>0.51914</v>
      </c>
      <c r="AF28" s="19">
        <v>0.51914</v>
      </c>
      <c r="AG28" s="19">
        <v>0.51914</v>
      </c>
      <c r="AH28" s="19">
        <v>0.51914</v>
      </c>
      <c r="AI28" s="19">
        <v>0.51914</v>
      </c>
      <c r="AJ28" s="19">
        <v>0.51914</v>
      </c>
      <c r="AK28" s="19">
        <v>0.51914</v>
      </c>
      <c r="AL28" s="19">
        <v>0.51914</v>
      </c>
      <c r="AM28" s="19">
        <v>0.51914</v>
      </c>
      <c r="AN28" s="19">
        <v>0.51914</v>
      </c>
      <c r="AO28" s="19">
        <v>0.51914</v>
      </c>
      <c r="AP28" s="19">
        <v>0.51914</v>
      </c>
      <c r="AQ28" s="19">
        <v>0.51914</v>
      </c>
      <c r="AR28" s="19">
        <v>0.51914</v>
      </c>
      <c r="AS28" s="19">
        <v>0.51914</v>
      </c>
      <c r="AT28" s="19">
        <v>0.51914</v>
      </c>
    </row>
    <row r="29">
      <c r="A29" s="16" t="s">
        <v>33</v>
      </c>
      <c r="B29" s="19">
        <v>2.03167272727272</v>
      </c>
      <c r="C29" s="19">
        <v>2.04132173913043</v>
      </c>
      <c r="D29" s="19">
        <v>2.05183181818181</v>
      </c>
      <c r="E29" s="19">
        <v>2.06339545454545</v>
      </c>
      <c r="F29" s="19">
        <v>2.07599999999999</v>
      </c>
      <c r="G29" s="19">
        <v>2.08976818181818</v>
      </c>
      <c r="H29" s="19">
        <v>2.10440454545454</v>
      </c>
      <c r="I29" s="19">
        <v>2.12157826086956</v>
      </c>
      <c r="J29" s="19">
        <v>2.14034545454545</v>
      </c>
      <c r="K29" s="19">
        <v>2.1613409090909</v>
      </c>
      <c r="L29" s="19">
        <v>2.18646086956521</v>
      </c>
      <c r="M29" s="19">
        <v>2.21803636363636</v>
      </c>
      <c r="N29" s="19">
        <v>2.26401818181818</v>
      </c>
      <c r="O29" s="19">
        <v>2.30886818181818</v>
      </c>
      <c r="P29" s="19">
        <v>2.32951304347826</v>
      </c>
      <c r="Q29" s="19">
        <v>2.3411</v>
      </c>
      <c r="R29" s="19">
        <v>2.34638636363636</v>
      </c>
      <c r="S29" s="19">
        <v>2.34826956521739</v>
      </c>
      <c r="T29" s="19">
        <v>2.34897727272727</v>
      </c>
      <c r="U29" s="19">
        <v>2.34929545454545</v>
      </c>
      <c r="V29" s="19">
        <v>2.34945652173913</v>
      </c>
      <c r="W29" s="19">
        <v>2.34949999999999</v>
      </c>
      <c r="X29" s="19">
        <v>2.34949999999999</v>
      </c>
      <c r="Y29" s="19">
        <v>2.34949999999999</v>
      </c>
      <c r="Z29" s="19">
        <v>2.34949999999999</v>
      </c>
      <c r="AA29" s="19">
        <v>2.34949999999999</v>
      </c>
      <c r="AB29" s="19">
        <v>2.34949999999999</v>
      </c>
      <c r="AC29" s="19">
        <v>2.34949999999999</v>
      </c>
      <c r="AD29" s="19">
        <v>2.34949999999999</v>
      </c>
      <c r="AE29" s="19">
        <v>2.34949999999999</v>
      </c>
      <c r="AF29" s="19">
        <v>2.34949999999999</v>
      </c>
      <c r="AG29" s="19">
        <v>2.34949999999999</v>
      </c>
      <c r="AH29" s="19">
        <v>2.34949999999999</v>
      </c>
      <c r="AI29" s="19">
        <v>2.34949999999999</v>
      </c>
      <c r="AJ29" s="19">
        <v>2.34949999999999</v>
      </c>
      <c r="AK29" s="19">
        <v>2.34949999999999</v>
      </c>
      <c r="AL29" s="19">
        <v>2.34949999999999</v>
      </c>
      <c r="AM29" s="19">
        <v>2.34949999999999</v>
      </c>
      <c r="AN29" s="19">
        <v>2.34949999999999</v>
      </c>
      <c r="AO29" s="19">
        <v>2.34949999999999</v>
      </c>
      <c r="AP29" s="19">
        <v>2.34949999999999</v>
      </c>
      <c r="AQ29" s="19">
        <v>2.34949999999999</v>
      </c>
      <c r="AR29" s="19">
        <v>2.34949999999999</v>
      </c>
      <c r="AS29" s="19">
        <v>2.34949999999999</v>
      </c>
      <c r="AT29" s="19">
        <v>2.3495</v>
      </c>
    </row>
    <row r="30">
      <c r="A30" s="16" t="s">
        <v>34</v>
      </c>
      <c r="B30" s="19">
        <v>0.962483181818182</v>
      </c>
      <c r="C30" s="19">
        <v>1.10216086956521</v>
      </c>
      <c r="D30" s="19">
        <v>1.27102272727272</v>
      </c>
      <c r="E30" s="19">
        <v>1.48076818181818</v>
      </c>
      <c r="F30" s="19">
        <v>1.74007391304347</v>
      </c>
      <c r="G30" s="19">
        <v>2.06525909090909</v>
      </c>
      <c r="H30" s="19">
        <v>2.46912727272727</v>
      </c>
      <c r="I30" s="19">
        <v>3.03157391304347</v>
      </c>
      <c r="J30" s="19">
        <v>3.76851818181818</v>
      </c>
      <c r="K30" s="19">
        <v>4.76875</v>
      </c>
      <c r="L30" s="19">
        <v>6.25455217391304</v>
      </c>
      <c r="M30" s="19">
        <v>8.7835</v>
      </c>
      <c r="N30" s="19">
        <v>14.3672272727272</v>
      </c>
      <c r="O30" s="19">
        <v>22.4816818181818</v>
      </c>
      <c r="P30" s="19">
        <v>27.8547826086956</v>
      </c>
      <c r="Q30" s="19">
        <v>31.4615909090909</v>
      </c>
      <c r="R30" s="19">
        <v>33.2725909090909</v>
      </c>
      <c r="S30" s="19">
        <v>33.9420869565217</v>
      </c>
      <c r="T30" s="19">
        <v>34.1989545454545</v>
      </c>
      <c r="U30" s="19">
        <v>34.3151818181818</v>
      </c>
      <c r="V30" s="19">
        <v>34.3758695652173</v>
      </c>
      <c r="W30" s="19">
        <v>34.3988636363636</v>
      </c>
      <c r="X30" s="19">
        <v>34.3999999999999</v>
      </c>
      <c r="Y30" s="19">
        <v>34.3999999999999</v>
      </c>
      <c r="Z30" s="19">
        <v>34.3999999999999</v>
      </c>
      <c r="AA30" s="19">
        <v>34.3999999999999</v>
      </c>
      <c r="AB30" s="19">
        <v>34.3999999999999</v>
      </c>
      <c r="AC30" s="19">
        <v>34.3999999999999</v>
      </c>
      <c r="AD30" s="19">
        <v>34.3999999999999</v>
      </c>
      <c r="AE30" s="19">
        <v>34.3999999999999</v>
      </c>
      <c r="AF30" s="19">
        <v>34.3999999999999</v>
      </c>
      <c r="AG30" s="19">
        <v>34.3999999999999</v>
      </c>
      <c r="AH30" s="19">
        <v>34.3999999999999</v>
      </c>
      <c r="AI30" s="19">
        <v>34.3999999999999</v>
      </c>
      <c r="AJ30" s="19">
        <v>34.3999999999999</v>
      </c>
      <c r="AK30" s="19">
        <v>34.3999999999999</v>
      </c>
      <c r="AL30" s="19">
        <v>34.3999999999999</v>
      </c>
      <c r="AM30" s="19">
        <v>34.3999999999999</v>
      </c>
      <c r="AN30" s="19">
        <v>34.3999999999999</v>
      </c>
      <c r="AO30" s="19">
        <v>34.3999999999999</v>
      </c>
      <c r="AP30" s="19">
        <v>34.3999999999999</v>
      </c>
      <c r="AQ30" s="19">
        <v>34.3999999999999</v>
      </c>
      <c r="AR30" s="19">
        <v>34.3999999999999</v>
      </c>
      <c r="AS30" s="19">
        <v>34.3999999999999</v>
      </c>
      <c r="AT30" s="19">
        <v>34.3999999999999</v>
      </c>
    </row>
    <row r="31">
      <c r="A31" s="16" t="s">
        <v>35</v>
      </c>
      <c r="B31" s="5">
        <v>1346.79999999999</v>
      </c>
      <c r="C31" s="5">
        <v>1346.79999999999</v>
      </c>
      <c r="D31" s="5">
        <v>1346.79999999999</v>
      </c>
      <c r="E31" s="5">
        <v>1346.79999999999</v>
      </c>
      <c r="F31" s="5">
        <v>1346.79999999999</v>
      </c>
      <c r="G31" s="5">
        <v>1346.79999999999</v>
      </c>
      <c r="H31" s="5">
        <v>1346.79999999999</v>
      </c>
      <c r="I31" s="5">
        <v>1346.79999999999</v>
      </c>
      <c r="J31" s="5">
        <v>1346.79999999999</v>
      </c>
      <c r="K31" s="5">
        <v>1346.79999999999</v>
      </c>
      <c r="L31" s="5">
        <v>1346.79999999999</v>
      </c>
      <c r="M31" s="5">
        <v>1346.79999999999</v>
      </c>
      <c r="N31" s="5">
        <v>1346.79999999999</v>
      </c>
      <c r="O31" s="5">
        <v>1346.79999999999</v>
      </c>
      <c r="P31" s="5">
        <v>1346.79999999999</v>
      </c>
      <c r="Q31" s="5">
        <v>1346.79999999999</v>
      </c>
      <c r="R31" s="5">
        <v>1346.79999999999</v>
      </c>
      <c r="S31" s="5">
        <v>1346.79999999999</v>
      </c>
      <c r="T31" s="5">
        <v>1346.79999999999</v>
      </c>
      <c r="U31" s="5">
        <v>1346.79999999999</v>
      </c>
      <c r="V31" s="5">
        <v>1346.79999999999</v>
      </c>
      <c r="W31" s="5">
        <v>1346.79999999999</v>
      </c>
      <c r="X31" s="5">
        <v>1346.79999999999</v>
      </c>
      <c r="Y31" s="5">
        <v>1346.79999999999</v>
      </c>
      <c r="Z31" s="5">
        <v>1346.79999999999</v>
      </c>
      <c r="AA31" s="5">
        <v>1346.79999999999</v>
      </c>
      <c r="AB31" s="5">
        <v>1346.79999999999</v>
      </c>
      <c r="AC31" s="5">
        <v>1346.79999999999</v>
      </c>
      <c r="AD31" s="5">
        <v>1346.79999999999</v>
      </c>
      <c r="AE31" s="5">
        <v>1346.79999999999</v>
      </c>
      <c r="AF31" s="5">
        <v>1346.79999999999</v>
      </c>
      <c r="AG31" s="5">
        <v>1346.79999999999</v>
      </c>
      <c r="AH31" s="5">
        <v>1346.79999999999</v>
      </c>
      <c r="AI31" s="5">
        <v>1346.79999999999</v>
      </c>
      <c r="AJ31" s="5">
        <v>1346.79999999999</v>
      </c>
      <c r="AK31" s="5">
        <v>1346.79999999999</v>
      </c>
      <c r="AL31" s="5">
        <v>1346.79999999999</v>
      </c>
      <c r="AM31" s="5">
        <v>1346.79999999999</v>
      </c>
      <c r="AN31" s="5">
        <v>1346.79999999999</v>
      </c>
      <c r="AO31" s="5">
        <v>1346.79999999999</v>
      </c>
      <c r="AP31" s="5">
        <v>1346.79999999999</v>
      </c>
      <c r="AQ31" s="5">
        <v>1346.79999999999</v>
      </c>
      <c r="AR31" s="5">
        <v>1346.79999999999</v>
      </c>
      <c r="AS31" s="5">
        <v>1346.79999999999</v>
      </c>
      <c r="AT31" s="5">
        <v>1346.8</v>
      </c>
    </row>
    <row r="33">
      <c r="B33" s="14">
        <v>45.0</v>
      </c>
      <c r="C33" s="14">
        <v>44.0</v>
      </c>
      <c r="D33" s="14">
        <v>43.0</v>
      </c>
      <c r="E33" s="14">
        <v>42.0</v>
      </c>
      <c r="F33" s="14">
        <v>41.0</v>
      </c>
      <c r="G33" s="14">
        <v>40.0</v>
      </c>
      <c r="H33" s="14">
        <v>39.0</v>
      </c>
      <c r="I33" s="14">
        <v>38.0</v>
      </c>
      <c r="J33" s="14">
        <v>37.0</v>
      </c>
      <c r="K33" s="14">
        <v>36.0</v>
      </c>
      <c r="L33" s="14">
        <v>35.0</v>
      </c>
      <c r="M33" s="14">
        <v>34.0</v>
      </c>
      <c r="N33" s="14">
        <v>33.0</v>
      </c>
      <c r="O33" s="14">
        <v>32.0</v>
      </c>
      <c r="P33" s="14">
        <v>31.0</v>
      </c>
      <c r="Q33" s="14">
        <v>30.0</v>
      </c>
      <c r="R33" s="14">
        <v>29.0</v>
      </c>
      <c r="S33" s="14">
        <v>28.0</v>
      </c>
      <c r="T33" s="14">
        <v>27.0</v>
      </c>
      <c r="U33" s="14">
        <v>26.0</v>
      </c>
      <c r="V33" s="14">
        <v>25.0</v>
      </c>
      <c r="W33" s="14">
        <v>24.0</v>
      </c>
      <c r="X33" s="14">
        <v>23.0</v>
      </c>
      <c r="Y33" s="14">
        <v>22.0</v>
      </c>
      <c r="Z33" s="14">
        <v>21.0</v>
      </c>
      <c r="AA33" s="14">
        <v>20.0</v>
      </c>
      <c r="AB33" s="14">
        <v>19.0</v>
      </c>
      <c r="AC33" s="14">
        <v>18.0</v>
      </c>
      <c r="AD33" s="14">
        <v>17.0</v>
      </c>
      <c r="AE33" s="14">
        <v>16.0</v>
      </c>
      <c r="AF33" s="14">
        <v>15.0</v>
      </c>
      <c r="AG33" s="14">
        <v>14.0</v>
      </c>
      <c r="AH33" s="14">
        <v>13.0</v>
      </c>
      <c r="AI33" s="14">
        <v>12.0</v>
      </c>
      <c r="AJ33" s="14">
        <v>11.0</v>
      </c>
      <c r="AK33" s="14">
        <v>10.0</v>
      </c>
      <c r="AL33" s="14">
        <v>9.0</v>
      </c>
      <c r="AM33" s="14">
        <v>8.0</v>
      </c>
      <c r="AN33" s="14">
        <v>7.0</v>
      </c>
      <c r="AO33" s="14">
        <v>6.0</v>
      </c>
      <c r="AP33" s="14">
        <v>5.0</v>
      </c>
      <c r="AQ33" s="14">
        <v>4.0</v>
      </c>
      <c r="AR33" s="14">
        <v>3.0</v>
      </c>
      <c r="AS33" s="14">
        <v>2.0</v>
      </c>
      <c r="AT33" s="14">
        <v>1.0</v>
      </c>
    </row>
  </sheetData>
  <drawing r:id="rId1"/>
</worksheet>
</file>